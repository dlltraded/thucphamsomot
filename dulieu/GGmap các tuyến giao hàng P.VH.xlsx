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DRIVE\Vận Hành\"/>
    </mc:Choice>
  </mc:AlternateContent>
  <xr:revisionPtr revIDLastSave="0" documentId="13_ncr:1_{A08EF7EC-112F-4456-B91B-9B69DFBCFAA7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Kho xuất phát" sheetId="1" r:id="rId1"/>
    <sheet name="Sheet1" sheetId="3" r:id="rId2"/>
  </sheets>
  <definedNames>
    <definedName name="_xlnm._FilterDatabase" localSheetId="1" hidden="1">Sheet1!$A$2:$G$2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5" i="3" l="1"/>
</calcChain>
</file>

<file path=xl/sharedStrings.xml><?xml version="1.0" encoding="utf-8"?>
<sst xmlns="http://schemas.openxmlformats.org/spreadsheetml/2006/main" count="427" uniqueCount="301">
  <si>
    <t>THÔNG TIN KHO XUẤT PHÁT</t>
  </si>
  <si>
    <t>Chỉ cần 1 dòng dữ liệu (dòng 4). Đây là điểm bắt đầu của tất cả các tuyến.</t>
  </si>
  <si>
    <t>Tên kho</t>
  </si>
  <si>
    <t>Địa chỉ</t>
  </si>
  <si>
    <t>Google Plus Code (hoặc toạ độ lat,lng)</t>
  </si>
  <si>
    <t>Công ty TNHH Thực Phẩm Số Một</t>
  </si>
  <si>
    <t>B19 Khu phố 15, Tam Hiệp, Đồng Nai</t>
  </si>
  <si>
    <t>📌 HƯỚNG DẪN:</t>
  </si>
  <si>
    <t>• Xoá dòng ví dụ (dòng 4) và điền thông tin kho thật của bạn.</t>
  </si>
  <si>
    <t>• Google Plus Code: Mở Google Maps → chuột phải vào vị trí kho → copy dòng Plus Code (vd: XV88+MR Tam Hiep).</t>
  </si>
  <si>
    <t>• Hoặc dùng toạ độ số: 10.9450, 106.8550 (copy từ Google Maps khi chuột phải vào điểm).</t>
  </si>
  <si>
    <t>• Cả Plus Code và toạ độ số đều được chấp nhận.</t>
  </si>
  <si>
    <t>Tên tuyến</t>
  </si>
  <si>
    <t>Tài xế</t>
  </si>
  <si>
    <t>Thứ tự giao</t>
  </si>
  <si>
    <t>Mã KH</t>
  </si>
  <si>
    <t>Tên khách hàng</t>
  </si>
  <si>
    <t>Tuyến 1</t>
  </si>
  <si>
    <t>1</t>
  </si>
  <si>
    <t>TL</t>
  </si>
  <si>
    <t>CÔNG TY TNHH THIÊN LONG</t>
  </si>
  <si>
    <t>Đường số 7, KCN Long Thành, Đồng Nai</t>
  </si>
  <si>
    <t>RW8C+4Q An Phuoc, Dong Nai City, Vietnam</t>
  </si>
  <si>
    <t>2</t>
  </si>
  <si>
    <t>TYT</t>
  </si>
  <si>
    <t>CÔNG TY CỔ PHẦN TOYOTA LONG THÀNH</t>
  </si>
  <si>
    <t>QX29+CH Long Thanh, Dong Nai City, Vietnam</t>
  </si>
  <si>
    <t>3</t>
  </si>
  <si>
    <t>NANKAI</t>
  </si>
  <si>
    <t>PWR9+F8 Nhon Trach, Dong Nai City, Vietnam</t>
  </si>
  <si>
    <t>Tuyến 2</t>
  </si>
  <si>
    <t>VIG</t>
  </si>
  <si>
    <t>J2XQ+57J, Phú Mỹ, Hồ Chí Minh, Vietnam</t>
  </si>
  <si>
    <t>FULL</t>
  </si>
  <si>
    <t>H5RC+X7Q, Ngãi Giao, Hồ Chí Minh, Vietnam</t>
  </si>
  <si>
    <t>XV5G+JQ Tam Hiep, Dong Nai City, Vietnam</t>
  </si>
  <si>
    <t>Hứa Hải Sơn</t>
  </si>
  <si>
    <t>INK</t>
  </si>
  <si>
    <t>CÔNG TY CỔ PHẦN LIÊN KẾT QUỐC TẾ INKINDY</t>
  </si>
  <si>
    <t>Long Thành / An Phước (KCN Long Thành)</t>
  </si>
  <si>
    <t>6A Chợ Mới, tổ 34, khu Cầu Xéo, Long Thành, Đồng Nai 76206, Vietnam</t>
  </si>
  <si>
    <t>QXH4+MR Long Thanh, Dong Nai City, Vietnam</t>
  </si>
  <si>
    <t>DANH SÁCH CÁC ĐIỂM GIAO HÀNG CỦA CÔNG TY TNHH THƯC PHAM SỐ MỘT</t>
  </si>
  <si>
    <t>3 Đường Số 2, Khu công nghiệp Nhơn Trạch 1, Nhơn Trạch, Đồng Nai, Vietnam</t>
  </si>
  <si>
    <t>SOLTEC</t>
  </si>
  <si>
    <t>Nhon Trạch, Phuoc An, Dong Nai City, Vietnam</t>
  </si>
  <si>
    <t>PX53+2G Phuoc An, Dong Nai City, Vietnam</t>
  </si>
  <si>
    <t>4</t>
  </si>
  <si>
    <t>5</t>
  </si>
  <si>
    <t>Nguyễn Trương Đạt</t>
  </si>
  <si>
    <t>LEA</t>
  </si>
  <si>
    <t>SAITE</t>
  </si>
  <si>
    <t>NGV</t>
  </si>
  <si>
    <t>ITF</t>
  </si>
  <si>
    <t>TRIPOD</t>
  </si>
  <si>
    <t>LEADER</t>
  </si>
  <si>
    <t xml:space="preserve">NGV </t>
  </si>
  <si>
    <t xml:space="preserve"> INTERFOOD</t>
  </si>
  <si>
    <t>CÔNG TY TNHH ELECTRONIC TRIPOD VIỆT NAM ( Bien Hoa)</t>
  </si>
  <si>
    <t> Đường số 6, KCN An Phước, xã An phước, huyện Long Thành, tỉnh Đồng Nai</t>
  </si>
  <si>
    <t>RXW4+98 An Phuoc, Dong Nai City, Vietnam</t>
  </si>
  <si>
    <t>VW7P+V64, Đường số 3, Tam Phước, Đồng Nai, Vietnam</t>
  </si>
  <si>
    <t>WVFG+P2 Tran Bien, Dong Nai City, Vietnam</t>
  </si>
  <si>
    <t>No. 31, 3A street, Bien Hoa, Industrial Zone 2, Trấn Biên, Đồng Nai, Vietnam</t>
  </si>
  <si>
    <t>RW67+V7 An Phuoc, Dong Nai City, Vietnam</t>
  </si>
  <si>
    <t>An Phuoc, Dong Nai City, Vietnam</t>
  </si>
  <si>
    <t>VW8W+WQ3, Đường số 6, Tam Phước, Đồng Nai, Vietnam</t>
  </si>
  <si>
    <t>Tuyến 3</t>
  </si>
  <si>
    <t>Nguyễn Long Phi Bảo</t>
  </si>
  <si>
    <t>MHT</t>
  </si>
  <si>
    <t>CÔNG TY TNHH MINH HƯNG TIẾN</t>
  </si>
  <si>
    <t>DECHANG</t>
  </si>
  <si>
    <t>PROVIMI</t>
  </si>
  <si>
    <t>N.GỖ</t>
  </si>
  <si>
    <t>Nhất Gỗ C4</t>
  </si>
  <si>
    <t>NG3</t>
  </si>
  <si>
    <t>Công ty TNHH Minh Hưng Tiến - Số 72/2 Tổ 4, KP Tân Lập, Kp Long Điềm, Phường, Phước Tân, Đồng Nai, Vietnam</t>
  </si>
  <si>
    <t>WXF2+Q2 Phuoc Tan, Dong Nai City, Vietnam</t>
  </si>
  <si>
    <t>C3 Đường 1 Khu Công Nghiệp Giang Điền, Trảng Bom, Đồng Nai, Vietnam</t>
  </si>
  <si>
    <t>WX4P+FW Trang Bom, Dong Nai City, Vietnam</t>
  </si>
  <si>
    <t>KCN Giang Điền</t>
  </si>
  <si>
    <t>VXVG+Q32, Đ. Số 5, Tam Phước, Đồng Nai, Vietnam</t>
  </si>
  <si>
    <t>Lô 18, đường, số 5 Khu Công Nghiệp Giang Điền, Tam Phước, Đồng Nai, Vietnam</t>
  </si>
  <si>
    <t>VXWG+83 Tam Phuoc, Dong Nai City, Vietnam</t>
  </si>
  <si>
    <t>Tuyến 4</t>
  </si>
  <si>
    <t>REGZA</t>
  </si>
  <si>
    <t>Đường số 1, KCN Long Thành, Xã Tam An, Huyện Long Thành, Đồng Nai</t>
  </si>
  <si>
    <t>RWCC+4F An Phuoc, Dong Nai City, Vietnam</t>
  </si>
  <si>
    <t>VANSAN-HP</t>
  </si>
  <si>
    <t>CT CP VÁN SÀN HÒA PHÁT</t>
  </si>
  <si>
    <t>Lô số 35, Đường D12 KCN Châu Đức, Nghĩa Thành, Hồ Chí Minh, Vietnam</t>
  </si>
  <si>
    <t>H59R+RC Nghia Thanh, Ba Ria - Vung Tau, Vietnam</t>
  </si>
  <si>
    <t>KINGSTYLE</t>
  </si>
  <si>
    <t>CTY MAY MẶC KINGSTYLE</t>
  </si>
  <si>
    <t>268 QL55, Xuyên Mộc, Hồ Chí Minh</t>
  </si>
  <si>
    <t>GCVG+P6 Xuyen Moc, Ba Ria - Vung Tau, Vietnam</t>
  </si>
  <si>
    <t>IDC</t>
  </si>
  <si>
    <t>Lô 8, Đường N7, Khu công nghiệp Đất Đỏ I, Xã Đất Đỏ, Thành phố Hồ Chí Minh, Việt Nam</t>
  </si>
  <si>
    <t>SSG</t>
  </si>
  <si>
    <t>Lô 4 D6 Khu Công Nghiệp Đất Đỏ I, Đất Đỏ, Hồ Chí Minh 78000, Vietnam</t>
  </si>
  <si>
    <t>Vũ Hoàng Triều</t>
  </si>
  <si>
    <t>NHẤT GỖ C3</t>
  </si>
  <si>
    <t>REGZA.</t>
  </si>
  <si>
    <t>G8G2+FX Dat Do, Ba Ria - Vung Tau, Vietnam</t>
  </si>
  <si>
    <t>10.518332915048346, 107.31100598774279</t>
  </si>
  <si>
    <t>BẾP S&amp;S GLOVE</t>
  </si>
  <si>
    <t>CỒNG TY CƯỜNG THUẬN IDICO</t>
  </si>
  <si>
    <t>Tuyến 5</t>
  </si>
  <si>
    <t>Nguyễn Văn Chiến</t>
  </si>
  <si>
    <t>GIAYSG</t>
  </si>
  <si>
    <t>NIP</t>
  </si>
  <si>
    <t>HOAPHAT</t>
  </si>
  <si>
    <t>CÔNG TY CỔ PHẦN SẢN XUẤT CONTAINER HÒA PHÁT</t>
  </si>
  <si>
    <t>BSV</t>
  </si>
  <si>
    <t>SGP.</t>
  </si>
  <si>
    <t>NIPPON STEEL PIPE VN.</t>
  </si>
  <si>
    <t xml:space="preserve"> NS BLUESCOPE VIỆT NAM.</t>
  </si>
  <si>
    <t>KCN Mỹ Xuân A, Phường Mỹ Xuân, Tỉnh Bà Rịa-Vũng Tàu</t>
  </si>
  <si>
    <t>J2XR+C9 Phu My, Ba Ria - Vung Tau, Vietnam</t>
  </si>
  <si>
    <t>Đường D3, KCN Phú Mỹ II, Phường Phú Mỹ, Tỉnh Bà Rịa-Vũng Tàu.</t>
  </si>
  <si>
    <t>G2QW+M9, Tân Phước, Hồ Chí Minh, Vietnam</t>
  </si>
  <si>
    <t>KCN Phú Mỹ 1, Phường Phú Mỹ, Thị Xã Phú Mỹ, Tỉnh Bà Rịa-Vũng Tàu.</t>
  </si>
  <si>
    <t>10.563277761312019, 107.07423698091542</t>
  </si>
  <si>
    <t>10.584267683953266, 107.04728678405283</t>
  </si>
  <si>
    <t>Tuyến 6</t>
  </si>
  <si>
    <t>Vũ Xuân Tú</t>
  </si>
  <si>
    <t>JCT</t>
  </si>
  <si>
    <t>CÔNG TY CỔ PHẦN CUNG ỨNG THỰC PHẨM JETCATERING</t>
  </si>
  <si>
    <t>X51</t>
  </si>
  <si>
    <t>CÔNG TY TNHH MTV ĐÓNG VÀ SỬA TÀU HẢI MINH</t>
  </si>
  <si>
    <t>1042 Huỳnh Tấn Phát, Nhà Bè, Hồ Chí Minh, Vietnam</t>
  </si>
  <si>
    <t>10.673900560599403, 106.7663863763225</t>
  </si>
  <si>
    <t>10.777414712029346, 106.70689155978084</t>
  </si>
  <si>
    <t>94 Cao Thắng, Bàn Cờ, Hồ Chí Minh, Vietnam</t>
  </si>
  <si>
    <t>Tuyến 7</t>
  </si>
  <si>
    <t>Thiên Hoàng</t>
  </si>
  <si>
    <t>XPM</t>
  </si>
  <si>
    <t>DEVI</t>
  </si>
  <si>
    <t>CÔNG TY DAEYOUNG EP VINA - HÀN- VIỆT</t>
  </si>
  <si>
    <t>XCP</t>
  </si>
  <si>
    <t>CÔNG TY TNHH HP PHÚ MỸ - XƯỞNG CHÂU PHA</t>
  </si>
  <si>
    <t>DOF</t>
  </si>
  <si>
    <t>CÔNG TY TNHH DOORE FOODS</t>
  </si>
  <si>
    <t>CG1</t>
  </si>
  <si>
    <t>CÔNG TY TNHH FULLXIN (VIỆT NAM) - CG1</t>
  </si>
  <si>
    <t>CG2</t>
  </si>
  <si>
    <t>CÔNG TY TNHH FULLXIN (VIỆT NAM) -CG2</t>
  </si>
  <si>
    <t>UYVIET</t>
  </si>
  <si>
    <t>CÔNG TY TNHH SẢN XUẤT GIÀY UY VIỆT</t>
  </si>
  <si>
    <t>SND</t>
  </si>
  <si>
    <t>CÔNG TY TNHH MTV DỊCH VỤ GOLF CHÂU ĐỨC</t>
  </si>
  <si>
    <t>CVIGLACERA MỸ ĐỨC.</t>
  </si>
  <si>
    <t>CÔNG TY TNHH FULLXIN VIỆT NAM.</t>
  </si>
  <si>
    <t>Đường số 1A, KCN Mỹ Xuân A, Phường Mỹ Xuân, Tỉnh Bà Rịa-Vũng Tàu.</t>
  </si>
  <si>
    <t>KCN Mỹ Xuân, B1, Phú Mỹ, Thành phố Hồ Chí Minh</t>
  </si>
  <si>
    <t>Lô 12A-12B KCN Châu Đức, Xã Nghĩa Thành, Tỉnh Bà Rịa-Vũng Tàu.</t>
  </si>
  <si>
    <t>H5RC+43V, KCN, Ngãi Giao, Hồ Chí Minh, Vietnam</t>
  </si>
  <si>
    <t>J56M+GGW, Ngãi Giao, Hồ Chí Minh, Vietnam</t>
  </si>
  <si>
    <t>XV8G+WH6, Hẻm 521 Nguyễn Ái Quốc, Long Bình, Đồng Nai, Vietnam</t>
  </si>
  <si>
    <t>10.639524332466296, 107.05773836075552</t>
  </si>
  <si>
    <t>10.607064735325205, 107.09511655624068</t>
  </si>
  <si>
    <t>10.59318511350237, 107.17323427853746</t>
  </si>
  <si>
    <t>10.583271326676282, 107.172132789294</t>
  </si>
  <si>
    <t>10.57832404648937, 107.17612483782332</t>
  </si>
  <si>
    <t>10.588451819475573, 107.16934226643474</t>
  </si>
  <si>
    <t>10.61153764060334, 107.18476358602273</t>
  </si>
  <si>
    <t>10.597934520667081, 107.15353651322593</t>
  </si>
  <si>
    <t>Tuyến 8</t>
  </si>
  <si>
    <t>hà mạnh cường</t>
  </si>
  <si>
    <t>LSP</t>
  </si>
  <si>
    <t>LSP CỔNG ADMIN</t>
  </si>
  <si>
    <t>10.464814880393222, 107.06545629214708</t>
  </si>
  <si>
    <t>F397+RG6, Đảo, Long Sơn, Hồ Chí Minh, Vietnam</t>
  </si>
  <si>
    <t>Tuyến 9</t>
  </si>
  <si>
    <t>Bình</t>
  </si>
  <si>
    <t>G8</t>
  </si>
  <si>
    <t>XƯỞNG G8</t>
  </si>
  <si>
    <t>ROCO</t>
  </si>
  <si>
    <t>ZUI</t>
  </si>
  <si>
    <t>HỘ KINH DOANH ĐÀO KIM HOÀNG</t>
  </si>
  <si>
    <t>10.96746601120682, 106.87657734173058</t>
  </si>
  <si>
    <t>XV7H+9M3, Khu Phố 13, Long Bình, Đồng Nai, Vietnam</t>
  </si>
  <si>
    <t>10.96773165555806, 106.87843911467499</t>
  </si>
  <si>
    <t>Tuyến 10</t>
  </si>
  <si>
    <t>Dũng</t>
  </si>
  <si>
    <t>GMA</t>
  </si>
  <si>
    <t>CÔNG TY TNHH GM APPAREL &amp; ACCESSORIES</t>
  </si>
  <si>
    <t>NTN</t>
  </si>
  <si>
    <t xml:space="preserve">NHÀ THIẾU NHI THÀNH PHỐ
</t>
  </si>
  <si>
    <t>ASIA</t>
  </si>
  <si>
    <t>ASIA2</t>
  </si>
  <si>
    <t>KIRIN</t>
  </si>
  <si>
    <t>10.948769010889073, 106.8327939568887</t>
  </si>
  <si>
    <t>03 Cách Mạng Tháng 8, Trấn Biên, Đồng Nai, Vietnam</t>
  </si>
  <si>
    <t>10.914425865862082, 106.75213195420791</t>
  </si>
  <si>
    <t>Số 90, Lô CN7, Bình Hòa 19 Đồng An, Khu Công Nghiệp, Bình Hòa, Hồ Chí Minh, Vietnam</t>
  </si>
  <si>
    <t>Lô E12, NA3, KCN Mỹ Phước II, Bến Cát, Hồ Chí Minh, Vietnam</t>
  </si>
  <si>
    <t>LÔ E-6-CN; E-12-CN KCN MỸ PHƯỚC 2, PHƯỜNG BẾN CÁT, TP HỒ CHÍ MINH, VIỆT NAM</t>
  </si>
  <si>
    <t>4JQ9+CJ3, Bến Cát, Hồ Chí Minh, Vietnam</t>
  </si>
  <si>
    <t>11.13964671048992, 106.62745468850245</t>
  </si>
  <si>
    <t>11.127058485981495, 106.62050502399192</t>
  </si>
  <si>
    <t>ASIA 1</t>
  </si>
  <si>
    <t>ASIA 2</t>
  </si>
  <si>
    <t>11.140632792034806, 106.62309189807978</t>
  </si>
  <si>
    <t>Tuyến 11</t>
  </si>
  <si>
    <t>Đoan</t>
  </si>
  <si>
    <t>SAOMAI</t>
  </si>
  <si>
    <t>Mầm Non Sao Mai</t>
  </si>
  <si>
    <t>BAT</t>
  </si>
  <si>
    <t>HIEPPHATFOOD - BAT</t>
  </si>
  <si>
    <t>VT</t>
  </si>
  <si>
    <t>HHT</t>
  </si>
  <si>
    <t>10.958660788753464, 106.89628074168809</t>
  </si>
  <si>
    <t>Mầm non Vĩnh Tân</t>
  </si>
  <si>
    <t>11.049035225452448, 107.0258454807779</t>
  </si>
  <si>
    <t>HƯNG HẢI THỊNH</t>
  </si>
  <si>
    <t>Tuyến 12</t>
  </si>
  <si>
    <t>KHOA</t>
  </si>
  <si>
    <t>DECHANG1</t>
  </si>
  <si>
    <t>CAR</t>
  </si>
  <si>
    <t>KOBELCO</t>
  </si>
  <si>
    <t>FGL-AB</t>
  </si>
  <si>
    <t>KOBELCO E&amp;M VIỆT NAM</t>
  </si>
  <si>
    <t>11.280032916918836, 106.84168287224203</t>
  </si>
  <si>
    <t>Phú Giáo</t>
  </si>
  <si>
    <t>DECHANG - GIAO G8</t>
  </si>
  <si>
    <t>CÔNG TY TNHH CARGILL VIỆT NAM.</t>
  </si>
  <si>
    <t>10.923518266283939, 106.8960443055931</t>
  </si>
  <si>
    <t>10.914318480282951, 106.85876050735777</t>
  </si>
  <si>
    <t>FASHION GARMENTS 2.</t>
  </si>
  <si>
    <t>10.930080378699174, 106.87176699824818</t>
  </si>
  <si>
    <t>Tuyến 13</t>
  </si>
  <si>
    <t>Thiện</t>
  </si>
  <si>
    <t>BAY</t>
  </si>
  <si>
    <t>VINA-V</t>
  </si>
  <si>
    <t>CÔNG TY TNHH E VIET FOOD_INZI VINA - BẾP VIỆT</t>
  </si>
  <si>
    <t>STARPRINT</t>
  </si>
  <si>
    <t>NOBEL</t>
  </si>
  <si>
    <t>HANGCHA</t>
  </si>
  <si>
    <t>CÔNG TY TNHH XE NÂNG HANGCHA VIỆT NAM</t>
  </si>
  <si>
    <t>SONHA</t>
  </si>
  <si>
    <t>CÔNG TY TNHH SƠN HÀ</t>
  </si>
  <si>
    <t>AGIS</t>
  </si>
  <si>
    <t>CÔNG TY TNHH AGIS</t>
  </si>
  <si>
    <t>NDC</t>
  </si>
  <si>
    <t>HKD PHẠM THỊ ĐAN ANH - TRƯỜNG NGUYỄN ĐÌNH CHIỂU</t>
  </si>
  <si>
    <t>BAYER</t>
  </si>
  <si>
    <t>10.939732336829076, 106.89353327306318</t>
  </si>
  <si>
    <t>10.950601078044288, 106.90153231893271</t>
  </si>
  <si>
    <t>10.942411478543368, 106.90386802885402</t>
  </si>
  <si>
    <t>10.937767530527852, 106.90067987622321</t>
  </si>
  <si>
    <t>10.939216380741732, 106.89818623424378</t>
  </si>
  <si>
    <t>10.97963061487659, 106.84739854227908</t>
  </si>
  <si>
    <t>10.96511281658201, 106.85771218221475</t>
  </si>
  <si>
    <t>10.965174625937417, 106.88405570587025</t>
  </si>
  <si>
    <t>Tuyến 14</t>
  </si>
  <si>
    <t>Khoa</t>
  </si>
  <si>
    <t>AQUA</t>
  </si>
  <si>
    <t>NOVA</t>
  </si>
  <si>
    <t>CÔNG TY TNHH NOVA BUILDINGS VIỆT NAM</t>
  </si>
  <si>
    <t>ALN</t>
  </si>
  <si>
    <t>LYS-HP</t>
  </si>
  <si>
    <t>THIENTAM</t>
  </si>
  <si>
    <t>CÔNG TY TNHH MỘT THÀNH VIÊN THIỀN TÂM</t>
  </si>
  <si>
    <t>VIETUC</t>
  </si>
  <si>
    <t>CÔNG TY TNHH CƠ KHÍ NHỰA VIỆT ÚC</t>
  </si>
  <si>
    <t xml:space="preserve"> ALLNEX</t>
  </si>
  <si>
    <t>LYSAGHT</t>
  </si>
  <si>
    <t>10.920344397108657, 106.87952496380176</t>
  </si>
  <si>
    <t>10.92171816981426, 106.88573522370768</t>
  </si>
  <si>
    <t>10.91899764417149, 106.87148743096641</t>
  </si>
  <si>
    <t>KCN Biên Hoà 2</t>
  </si>
  <si>
    <t>10.913846928482139, 106.93819822269806</t>
  </si>
  <si>
    <t>80 Võ Nguyên Giáp, Phước Tân, Đồng Nai, Vietnam</t>
  </si>
  <si>
    <t>Số 03, đường 09A, KCN Biên Hoà 2, Đường 9A, Trấn Biên, Đồng Nai, Vietnam</t>
  </si>
  <si>
    <t>Số 79, Nguyễn Văn A, KP 2, Phường Tân Hiệp, Thành phố Biên Hoà, Tỉnh Đồng Nai, Việt Nam</t>
  </si>
  <si>
    <t>AMATA</t>
  </si>
  <si>
    <t>10.900643043692941, 106.81844132414831</t>
  </si>
  <si>
    <t>Tuyến 15</t>
  </si>
  <si>
    <t>Vũ Thiện Hoàng</t>
  </si>
  <si>
    <t>ST</t>
  </si>
  <si>
    <t>Sơn tiên</t>
  </si>
  <si>
    <t>DPHAT</t>
  </si>
  <si>
    <t>Hộ kinh doanh Dương Phát</t>
  </si>
  <si>
    <t>FMS</t>
  </si>
  <si>
    <t>FORMOSA</t>
  </si>
  <si>
    <t>QL51, Khu phố 4, Long Hưng, Đồng Nai 81000, Vietnam</t>
  </si>
  <si>
    <t>10.889567836009691, 106.8806607707452</t>
  </si>
  <si>
    <t>10.717101338431902, 106.95769506597442</t>
  </si>
  <si>
    <t>Nhơn trạch</t>
  </si>
  <si>
    <t>Tuyến 16</t>
  </si>
  <si>
    <t>HÀ MẠNH TUYẾN</t>
  </si>
  <si>
    <t>Caesar</t>
  </si>
  <si>
    <t>10.718862414192822, 106.91129296315857</t>
  </si>
  <si>
    <t>Tuyến 17</t>
  </si>
  <si>
    <t>nguyễn phúc kha</t>
  </si>
  <si>
    <t>MNHY</t>
  </si>
  <si>
    <t>mần non hoàng yến</t>
  </si>
  <si>
    <t>10.998090218575129, 106.88189997864824</t>
  </si>
  <si>
    <t>Trảng dài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</si>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</sst>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1F4E78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i/>
      <sz val="10"/>
      <color rgb="FF80808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</font>
    <font>
      <sz val="11"/>
      <name val="Calibri"/>
      <family val="2"/>
      <scheme val="minor"/>
    </font>
    <font>
      <b/>
      <sz val="11"/>
      <name val="Arial"/>
      <family val="2"/>
    </font>
    <font>
      <i/>
      <sz val="11"/>
      <name val="Arial"/>
      <family val="2"/>
    </font>
    <font>
      <b/>
      <sz val="11"/>
      <name val="Calibri"/>
      <family val="2"/>
      <scheme val="minor"/>
    </font>
    <font>
      <sz val="1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9E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563C1"/>
      </patternFill>
    </fill>
    <fill>
      <patternFill patternType="solid">
        <fgColor theme="0"/>
        <bgColor rgb="FF800080"/>
      </patternFill>
    </fill>
    <fill>
      <patternFill patternType="solid">
        <fgColor theme="0"/>
        <bgColor rgb="FF00CC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99CC"/>
      </patternFill>
    </fill>
    <fill>
      <patternFill patternType="solid">
        <fgColor theme="0"/>
      </patternFill>
    </fill>
    <fill>
      <patternFill patternType="solid">
        <fgColor theme="0"/>
        <bgColor rgb="FFFF8080"/>
      </patternFill>
    </fill>
    <fill>
      <patternFill patternType="solid">
        <fgColor theme="0"/>
        <bgColor rgb="FFFF00FF"/>
      </patternFill>
    </fill>
    <fill>
      <patternFill patternType="solid">
        <fgColor theme="0"/>
        <bgColor rgb="FF3CB44B"/>
      </patternFill>
    </fill>
    <fill>
      <patternFill patternType="solid">
        <fgColor theme="0"/>
        <bgColor rgb="FF993300"/>
      </patternFill>
    </fill>
    <fill>
      <patternFill patternType="solid">
        <fgColor theme="0"/>
        <bgColor rgb="FF800000"/>
      </patternFill>
    </fill>
    <fill>
      <patternFill patternType="solid">
        <fgColor theme="0"/>
        <bgColor rgb="FF000080"/>
      </patternFill>
    </fill>
    <fill>
      <patternFill patternType="solid">
        <fgColor theme="0"/>
        <bgColor rgb="FFBFBFBF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4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8" fillId="4" borderId="2" xfId="1" applyFont="1" applyFill="1" applyBorder="1" applyAlignment="1">
      <alignment horizontal="left" vertical="top"/>
    </xf>
    <xf numFmtId="0" fontId="8" fillId="4" borderId="2" xfId="1" applyFont="1" applyFill="1" applyBorder="1" applyAlignment="1">
      <alignment horizontal="left" vertical="top" wrapText="1"/>
    </xf>
    <xf numFmtId="0" fontId="11" fillId="4" borderId="2" xfId="1" applyFont="1" applyFill="1" applyBorder="1" applyAlignment="1">
      <alignment horizontal="left" vertical="top" wrapText="1"/>
    </xf>
    <xf numFmtId="0" fontId="10" fillId="10" borderId="2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top"/>
    </xf>
    <xf numFmtId="0" fontId="8" fillId="4" borderId="2" xfId="0" applyFont="1" applyFill="1" applyBorder="1" applyAlignment="1">
      <alignment horizontal="left" vertical="top"/>
    </xf>
    <xf numFmtId="0" fontId="12" fillId="4" borderId="2" xfId="0" applyFont="1" applyFill="1" applyBorder="1" applyAlignment="1">
      <alignment horizontal="left" vertical="top"/>
    </xf>
    <xf numFmtId="0" fontId="12" fillId="4" borderId="2" xfId="0" applyFont="1" applyFill="1" applyBorder="1" applyAlignment="1">
      <alignment horizontal="left" vertical="top" wrapText="1"/>
    </xf>
    <xf numFmtId="0" fontId="10" fillId="10" borderId="3" xfId="0" applyFont="1" applyFill="1" applyBorder="1" applyAlignment="1">
      <alignment horizontal="left" vertical="top" wrapText="1"/>
    </xf>
    <xf numFmtId="0" fontId="8" fillId="4" borderId="3" xfId="0" applyFont="1" applyFill="1" applyBorder="1" applyAlignment="1">
      <alignment horizontal="left" vertical="top"/>
    </xf>
    <xf numFmtId="0" fontId="9" fillId="4" borderId="3" xfId="0" applyFont="1" applyFill="1" applyBorder="1" applyAlignment="1">
      <alignment horizontal="left" vertical="top" wrapText="1"/>
    </xf>
    <xf numFmtId="0" fontId="11" fillId="5" borderId="3" xfId="1" applyFont="1" applyFill="1" applyBorder="1" applyAlignment="1">
      <alignment horizontal="left" vertical="top" wrapText="1"/>
    </xf>
    <xf numFmtId="0" fontId="11" fillId="11" borderId="3" xfId="1" applyFont="1" applyFill="1" applyBorder="1" applyAlignment="1">
      <alignment horizontal="left" vertical="top" wrapText="1"/>
    </xf>
    <xf numFmtId="0" fontId="11" fillId="6" borderId="3" xfId="1" applyFont="1" applyFill="1" applyBorder="1" applyAlignment="1">
      <alignment horizontal="left" vertical="top" wrapText="1"/>
    </xf>
    <xf numFmtId="0" fontId="11" fillId="7" borderId="3" xfId="1" applyFont="1" applyFill="1" applyBorder="1" applyAlignment="1">
      <alignment horizontal="left" vertical="top" wrapText="1"/>
    </xf>
    <xf numFmtId="0" fontId="11" fillId="12" borderId="3" xfId="1" applyFont="1" applyFill="1" applyBorder="1" applyAlignment="1">
      <alignment horizontal="left" vertical="top" wrapText="1"/>
    </xf>
    <xf numFmtId="0" fontId="11" fillId="8" borderId="3" xfId="1" applyFont="1" applyFill="1" applyBorder="1" applyAlignment="1">
      <alignment horizontal="left" vertical="top" wrapText="1"/>
    </xf>
    <xf numFmtId="0" fontId="11" fillId="9" borderId="3" xfId="1" applyFont="1" applyFill="1" applyBorder="1" applyAlignment="1">
      <alignment horizontal="left" vertical="top" wrapText="1"/>
    </xf>
    <xf numFmtId="0" fontId="11" fillId="13" borderId="3" xfId="1" applyFont="1" applyFill="1" applyBorder="1" applyAlignment="1">
      <alignment horizontal="left" vertical="top" wrapText="1"/>
    </xf>
    <xf numFmtId="0" fontId="11" fillId="14" borderId="3" xfId="1" applyFont="1" applyFill="1" applyBorder="1" applyAlignment="1">
      <alignment horizontal="left" vertical="top" wrapText="1"/>
    </xf>
    <xf numFmtId="0" fontId="11" fillId="15" borderId="3" xfId="1" applyFont="1" applyFill="1" applyBorder="1" applyAlignment="1">
      <alignment horizontal="left" vertical="top" wrapText="1"/>
    </xf>
    <xf numFmtId="0" fontId="11" fillId="16" borderId="3" xfId="1" applyFont="1" applyFill="1" applyBorder="1" applyAlignment="1">
      <alignment horizontal="left" vertical="top" wrapText="1"/>
    </xf>
    <xf numFmtId="0" fontId="11" fillId="17" borderId="3" xfId="1" applyFont="1" applyFill="1" applyBorder="1" applyAlignment="1">
      <alignment horizontal="left" vertical="top" wrapText="1"/>
    </xf>
    <xf numFmtId="0" fontId="12" fillId="4" borderId="3" xfId="1" applyFont="1" applyFill="1" applyBorder="1" applyAlignment="1">
      <alignment horizontal="left" vertical="top" wrapText="1"/>
    </xf>
    <xf numFmtId="0" fontId="10" fillId="10" borderId="4" xfId="0" applyFont="1" applyFill="1" applyBorder="1" applyAlignment="1">
      <alignment horizontal="left" vertical="top" wrapText="1"/>
    </xf>
    <xf numFmtId="0" fontId="8" fillId="4" borderId="4" xfId="1" applyFont="1" applyFill="1" applyBorder="1" applyAlignment="1">
      <alignment horizontal="left" vertical="top"/>
    </xf>
    <xf numFmtId="0" fontId="8" fillId="4" borderId="4" xfId="1" applyFont="1" applyFill="1" applyBorder="1" applyAlignment="1">
      <alignment horizontal="left" vertical="top" wrapText="1"/>
    </xf>
    <xf numFmtId="0" fontId="8" fillId="4" borderId="4" xfId="0" applyFont="1" applyFill="1" applyBorder="1" applyAlignment="1">
      <alignment horizontal="left" vertical="top"/>
    </xf>
    <xf numFmtId="0" fontId="9" fillId="10" borderId="5" xfId="0" applyFont="1" applyFill="1" applyBorder="1" applyAlignment="1">
      <alignment horizontal="left" vertical="top" wrapText="1"/>
    </xf>
    <xf numFmtId="0" fontId="9" fillId="10" borderId="6" xfId="0" applyFont="1" applyFill="1" applyBorder="1" applyAlignment="1">
      <alignment horizontal="left" vertical="top" wrapText="1"/>
    </xf>
    <xf numFmtId="0" fontId="9" fillId="10" borderId="7" xfId="0" applyFont="1" applyFill="1" applyBorder="1" applyAlignment="1">
      <alignment horizontal="left" vertical="top" wrapText="1"/>
    </xf>
    <xf numFmtId="0" fontId="12" fillId="4" borderId="8" xfId="1" applyFont="1" applyFill="1" applyBorder="1" applyAlignment="1">
      <alignment horizontal="left" vertical="top" wrapText="1"/>
    </xf>
    <xf numFmtId="0" fontId="8" fillId="4" borderId="9" xfId="1" applyFont="1" applyFill="1" applyBorder="1" applyAlignment="1">
      <alignment horizontal="left" vertical="top" wrapText="1"/>
    </xf>
    <xf numFmtId="0" fontId="12" fillId="4" borderId="9" xfId="0" applyFont="1" applyFill="1" applyBorder="1" applyAlignment="1">
      <alignment horizontal="left" vertical="top"/>
    </xf>
    <xf numFmtId="0" fontId="8" fillId="4" borderId="9" xfId="0" applyFont="1" applyFill="1" applyBorder="1" applyAlignment="1">
      <alignment horizontal="left" vertical="top"/>
    </xf>
    <xf numFmtId="0" fontId="8" fillId="4" borderId="10" xfId="0" applyFont="1" applyFill="1" applyBorder="1" applyAlignment="1">
      <alignment horizontal="left" vertical="top"/>
    </xf>
    <xf numFmtId="0" fontId="0" fillId="0" borderId="11" xfId="0" applyBorder="1"/>
    <xf numFmtId="0" fontId="11" fillId="8" borderId="8" xfId="0" applyFont="1" applyFill="1" applyBorder="1" applyAlignment="1">
      <alignment horizontal="left" vertical="top" wrapText="1"/>
    </xf>
    <xf numFmtId="0" fontId="8" fillId="4" borderId="9" xfId="0" applyFont="1" applyFill="1" applyBorder="1" applyAlignment="1">
      <alignment horizontal="left" vertical="top" wrapText="1"/>
    </xf>
    <xf numFmtId="0" fontId="1" fillId="0" borderId="0" xfId="0" applyFont="1"/>
    <xf numFmtId="0" fontId="0" fillId="0" borderId="0" xfId="0"/>
    <xf numFmtId="0" fontId="2" fillId="0" borderId="0" xfId="0" applyFont="1"/>
  </cellXfs>
  <cellStyles count="2">
    <cellStyle name="Normal" xfId="0" builtinId="0"/>
    <cellStyle name="Normal 2" xfId="1" xr:uid="{09B5A104-CE49-4184-86BB-8412F913B37A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rgb="FFFFFF00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rgb="FFFFFF00"/>
          <bgColor theme="0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BC533D-07B1-428A-A68E-C2709B68CB11}" name="Table3" displayName="Table3" ref="A2:G75" totalsRowCount="1" headerRowDxfId="16" headerRowBorderDxfId="15" tableBorderDxfId="14" totalsRowBorderDxfId="13">
  <autoFilter ref="A2:G74" xr:uid="{00BC533D-07B1-428A-A68E-C2709B68CB11}"/>
  <tableColumns count="7">
    <tableColumn id="1" xr3:uid="{6CF6C7F1-ADD2-4D1C-B8B9-5EACB4C0B123}" name="Tên tuyến" totalsRowLabel="Total" dataDxfId="12" totalsRowDxfId="6" dataCellStyle="Normal 2"/>
    <tableColumn id="2" xr3:uid="{215CAD9F-C9F6-45E1-B8B9-F500502D2AB7}" name="Tài xế" dataDxfId="11" totalsRowDxfId="5" dataCellStyle="Normal 2"/>
    <tableColumn id="3" xr3:uid="{6777537C-34F1-4EEE-9EF9-3E6399DE7E1A}" name="Thứ tự giao" dataDxfId="10" totalsRowDxfId="4" dataCellStyle="Normal 2"/>
    <tableColumn id="4" xr3:uid="{4DAB849F-F909-40AE-B96B-377F96F778C3}" name="Mã KH" totalsRowDxfId="3"/>
    <tableColumn id="5" xr3:uid="{5BC4650C-979A-4343-B273-95412A819C79}" name="Tên khách hàng" dataDxfId="9" totalsRowDxfId="2" dataCellStyle="Normal 2"/>
    <tableColumn id="6" xr3:uid="{C4DA0AF4-83B7-471B-BC22-D9EA11A24CAA}" name="Địa chỉ" dataDxfId="8" totalsRowDxfId="1"/>
    <tableColumn id="7" xr3:uid="{7CDA6F5E-AC09-463E-A2AA-62A9AC5818FB}" name="Google Plus Code (hoặc toạ độ lat,lng)" totalsRowFunction="count" dataDxfId="7" totalsRowDxfId="0"/>
  </tableColumns>
  <tableStyleInfo name="TableStyleLight16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A5" sqref="A5"/>
    </sheetView>
  </sheetViews>
  <sheetFormatPr defaultRowHeight="14.5" x14ac:dyDescent="0.35"/>
  <cols>
    <col min="1" max="1" width="38" customWidth="1"/>
    <col min="2" max="2" width="42" customWidth="1"/>
    <col min="3" max="3" width="48" customWidth="1"/>
  </cols>
  <sheetData>
    <row r="1" spans="1:3" ht="20" x14ac:dyDescent="0.4">
      <c r="A1" s="44" t="s">
        <v>0</v>
      </c>
      <c r="B1" s="45"/>
      <c r="C1" s="45"/>
    </row>
    <row r="2" spans="1:3" x14ac:dyDescent="0.35">
      <c r="A2" s="46" t="s">
        <v>1</v>
      </c>
      <c r="B2" s="45"/>
      <c r="C2" s="45"/>
    </row>
    <row r="3" spans="1:3" x14ac:dyDescent="0.35">
      <c r="A3" s="1" t="s">
        <v>2</v>
      </c>
      <c r="B3" s="1" t="s">
        <v>3</v>
      </c>
      <c r="C3" s="1" t="s">
        <v>4</v>
      </c>
    </row>
    <row r="4" spans="1:3" x14ac:dyDescent="0.35">
      <c r="A4" s="2" t="s">
        <v>5</v>
      </c>
      <c r="B4" s="2" t="s">
        <v>6</v>
      </c>
      <c r="C4" s="2" t="s">
        <v>35</v>
      </c>
    </row>
    <row r="6" spans="1:3" x14ac:dyDescent="0.35">
      <c r="A6" s="3" t="s">
        <v>7</v>
      </c>
    </row>
    <row r="7" spans="1:3" x14ac:dyDescent="0.35">
      <c r="A7" s="4" t="s">
        <v>8</v>
      </c>
    </row>
    <row r="8" spans="1:3" x14ac:dyDescent="0.35">
      <c r="A8" s="4" t="s">
        <v>9</v>
      </c>
    </row>
    <row r="9" spans="1:3" x14ac:dyDescent="0.35">
      <c r="A9" s="4" t="s">
        <v>10</v>
      </c>
    </row>
    <row r="10" spans="1:3" x14ac:dyDescent="0.35">
      <c r="A10" s="4" t="s">
        <v>11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D1525-0E33-460F-B553-4E6EA3310D3B}">
  <dimension ref="A1:G75"/>
  <sheetViews>
    <sheetView tabSelected="1" topLeftCell="A55" zoomScale="70" zoomScaleNormal="70" workbookViewId="0">
      <selection activeCell="E76" sqref="E76"/>
    </sheetView>
  </sheetViews>
  <sheetFormatPr defaultColWidth="40.36328125" defaultRowHeight="14.5" x14ac:dyDescent="0.35"/>
  <cols>
    <col min="1" max="1" width="10.453125" customWidth="1"/>
    <col min="2" max="2" width="23.90625" customWidth="1"/>
    <col min="3" max="3" width="12.08984375" customWidth="1"/>
    <col min="4" max="4" width="10.453125" customWidth="1"/>
    <col min="7" max="7" width="48.81640625" customWidth="1"/>
  </cols>
  <sheetData>
    <row r="1" spans="1:7" x14ac:dyDescent="0.35">
      <c r="A1" s="9" t="s">
        <v>42</v>
      </c>
      <c r="B1" s="10"/>
      <c r="C1" s="10"/>
      <c r="D1" s="10"/>
      <c r="E1" s="10"/>
      <c r="F1" s="10"/>
      <c r="G1" s="10"/>
    </row>
    <row r="2" spans="1:7" x14ac:dyDescent="0.35">
      <c r="A2" s="33" t="s">
        <v>12</v>
      </c>
      <c r="B2" s="34" t="s">
        <v>13</v>
      </c>
      <c r="C2" s="34" t="s">
        <v>14</v>
      </c>
      <c r="D2" s="34" t="s">
        <v>15</v>
      </c>
      <c r="E2" s="34" t="s">
        <v>16</v>
      </c>
      <c r="F2" s="34" t="s">
        <v>3</v>
      </c>
      <c r="G2" s="35" t="s">
        <v>4</v>
      </c>
    </row>
    <row r="3" spans="1:7" ht="29" x14ac:dyDescent="0.35">
      <c r="A3" s="13" t="s">
        <v>17</v>
      </c>
      <c r="B3" s="8" t="s">
        <v>36</v>
      </c>
      <c r="C3" s="8" t="s">
        <v>18</v>
      </c>
      <c r="D3" s="8" t="s">
        <v>19</v>
      </c>
      <c r="E3" s="8" t="s">
        <v>20</v>
      </c>
      <c r="F3" s="8" t="s">
        <v>21</v>
      </c>
      <c r="G3" s="29" t="s">
        <v>22</v>
      </c>
    </row>
    <row r="4" spans="1:7" ht="43.5" x14ac:dyDescent="0.35">
      <c r="A4" s="13"/>
      <c r="B4" s="8" t="s">
        <v>36</v>
      </c>
      <c r="C4" s="8" t="s">
        <v>23</v>
      </c>
      <c r="D4" s="6" t="s">
        <v>37</v>
      </c>
      <c r="E4" s="6" t="s">
        <v>38</v>
      </c>
      <c r="F4" s="6" t="s">
        <v>40</v>
      </c>
      <c r="G4" s="30" t="s">
        <v>41</v>
      </c>
    </row>
    <row r="5" spans="1:7" ht="43.5" x14ac:dyDescent="0.35">
      <c r="A5" s="13"/>
      <c r="B5" s="8" t="s">
        <v>36</v>
      </c>
      <c r="C5" s="8" t="s">
        <v>27</v>
      </c>
      <c r="D5" s="6" t="s">
        <v>24</v>
      </c>
      <c r="E5" s="6" t="s">
        <v>25</v>
      </c>
      <c r="F5" s="6" t="s">
        <v>39</v>
      </c>
      <c r="G5" s="30" t="s">
        <v>26</v>
      </c>
    </row>
    <row r="6" spans="1:7" ht="29" x14ac:dyDescent="0.35">
      <c r="A6" s="13"/>
      <c r="B6" s="8" t="s">
        <v>36</v>
      </c>
      <c r="C6" s="8" t="s">
        <v>47</v>
      </c>
      <c r="D6" s="6" t="s">
        <v>28</v>
      </c>
      <c r="E6" s="8" t="s">
        <v>28</v>
      </c>
      <c r="F6" s="6" t="s">
        <v>43</v>
      </c>
      <c r="G6" s="30" t="s">
        <v>29</v>
      </c>
    </row>
    <row r="7" spans="1:7" ht="29" x14ac:dyDescent="0.35">
      <c r="A7" s="13"/>
      <c r="B7" s="8" t="s">
        <v>36</v>
      </c>
      <c r="C7" s="8" t="s">
        <v>48</v>
      </c>
      <c r="D7" s="6" t="s">
        <v>44</v>
      </c>
      <c r="E7" s="6" t="s">
        <v>44</v>
      </c>
      <c r="F7" s="6" t="s">
        <v>45</v>
      </c>
      <c r="G7" s="30" t="s">
        <v>46</v>
      </c>
    </row>
    <row r="8" spans="1:7" x14ac:dyDescent="0.35">
      <c r="A8" s="14" t="s">
        <v>30</v>
      </c>
      <c r="B8" s="10" t="s">
        <v>49</v>
      </c>
      <c r="C8" s="6">
        <v>1</v>
      </c>
      <c r="D8" s="6" t="s">
        <v>50</v>
      </c>
      <c r="E8" s="6" t="s">
        <v>55</v>
      </c>
      <c r="F8" s="6" t="s">
        <v>65</v>
      </c>
      <c r="G8" s="30" t="s">
        <v>64</v>
      </c>
    </row>
    <row r="9" spans="1:7" x14ac:dyDescent="0.35">
      <c r="A9" s="15"/>
      <c r="B9" s="10" t="s">
        <v>49</v>
      </c>
      <c r="C9" s="6">
        <v>2</v>
      </c>
      <c r="D9" s="5" t="s">
        <v>51</v>
      </c>
      <c r="E9" s="5" t="s">
        <v>51</v>
      </c>
      <c r="F9" s="5" t="s">
        <v>59</v>
      </c>
      <c r="G9" s="30" t="s">
        <v>60</v>
      </c>
    </row>
    <row r="10" spans="1:7" x14ac:dyDescent="0.35">
      <c r="A10" s="14"/>
      <c r="B10" s="10" t="s">
        <v>49</v>
      </c>
      <c r="C10" s="6">
        <v>3</v>
      </c>
      <c r="D10" s="6" t="s">
        <v>52</v>
      </c>
      <c r="E10" s="6" t="s">
        <v>56</v>
      </c>
      <c r="F10" s="6"/>
      <c r="G10" s="30" t="s">
        <v>66</v>
      </c>
    </row>
    <row r="11" spans="1:7" ht="29" x14ac:dyDescent="0.35">
      <c r="A11" s="14"/>
      <c r="B11" s="10" t="s">
        <v>49</v>
      </c>
      <c r="C11" s="6">
        <v>4</v>
      </c>
      <c r="D11" s="6" t="s">
        <v>53</v>
      </c>
      <c r="E11" s="6" t="s">
        <v>57</v>
      </c>
      <c r="F11" s="6" t="s">
        <v>61</v>
      </c>
      <c r="G11" s="30" t="s">
        <v>61</v>
      </c>
    </row>
    <row r="12" spans="1:7" ht="58" x14ac:dyDescent="0.35">
      <c r="A12" s="14"/>
      <c r="B12" s="10" t="s">
        <v>49</v>
      </c>
      <c r="C12" s="6">
        <v>5</v>
      </c>
      <c r="D12" s="6" t="s">
        <v>54</v>
      </c>
      <c r="E12" s="6" t="s">
        <v>58</v>
      </c>
      <c r="F12" s="6" t="s">
        <v>63</v>
      </c>
      <c r="G12" s="30" t="s">
        <v>62</v>
      </c>
    </row>
    <row r="13" spans="1:7" ht="43.5" x14ac:dyDescent="0.35">
      <c r="A13" s="16" t="s">
        <v>67</v>
      </c>
      <c r="B13" s="10" t="s">
        <v>68</v>
      </c>
      <c r="C13" s="6">
        <v>1</v>
      </c>
      <c r="D13" s="6" t="s">
        <v>69</v>
      </c>
      <c r="E13" s="6" t="s">
        <v>70</v>
      </c>
      <c r="F13" s="6" t="s">
        <v>76</v>
      </c>
      <c r="G13" s="30" t="s">
        <v>77</v>
      </c>
    </row>
    <row r="14" spans="1:7" ht="29" x14ac:dyDescent="0.35">
      <c r="A14" s="16" t="s">
        <v>67</v>
      </c>
      <c r="B14" s="10" t="s">
        <v>68</v>
      </c>
      <c r="C14" s="6">
        <v>2</v>
      </c>
      <c r="D14" s="6" t="s">
        <v>71</v>
      </c>
      <c r="E14" s="6" t="s">
        <v>71</v>
      </c>
      <c r="F14" s="6" t="s">
        <v>78</v>
      </c>
      <c r="G14" s="30" t="s">
        <v>79</v>
      </c>
    </row>
    <row r="15" spans="1:7" x14ac:dyDescent="0.35">
      <c r="A15" s="16" t="s">
        <v>67</v>
      </c>
      <c r="B15" s="10" t="s">
        <v>68</v>
      </c>
      <c r="C15" s="6">
        <v>3</v>
      </c>
      <c r="D15" s="6" t="s">
        <v>72</v>
      </c>
      <c r="E15" s="6" t="s">
        <v>72</v>
      </c>
      <c r="F15" s="6" t="s">
        <v>80</v>
      </c>
      <c r="G15" s="30" t="s">
        <v>81</v>
      </c>
    </row>
    <row r="16" spans="1:7" ht="29" x14ac:dyDescent="0.35">
      <c r="A16" s="16" t="s">
        <v>67</v>
      </c>
      <c r="B16" s="10" t="s">
        <v>68</v>
      </c>
      <c r="C16" s="6">
        <v>4</v>
      </c>
      <c r="D16" s="5" t="s">
        <v>73</v>
      </c>
      <c r="E16" s="6" t="s">
        <v>74</v>
      </c>
      <c r="F16" s="6" t="s">
        <v>82</v>
      </c>
      <c r="G16" s="30" t="s">
        <v>83</v>
      </c>
    </row>
    <row r="17" spans="1:7" ht="29" x14ac:dyDescent="0.35">
      <c r="A17" s="16" t="s">
        <v>67</v>
      </c>
      <c r="B17" s="10" t="s">
        <v>68</v>
      </c>
      <c r="C17" s="6">
        <v>5</v>
      </c>
      <c r="D17" s="6" t="s">
        <v>75</v>
      </c>
      <c r="E17" s="6" t="s">
        <v>101</v>
      </c>
      <c r="F17" s="6" t="s">
        <v>82</v>
      </c>
      <c r="G17" s="30" t="s">
        <v>83</v>
      </c>
    </row>
    <row r="18" spans="1:7" x14ac:dyDescent="0.35">
      <c r="A18" s="17" t="s">
        <v>84</v>
      </c>
      <c r="B18" s="10" t="s">
        <v>100</v>
      </c>
      <c r="C18" s="6">
        <v>1</v>
      </c>
      <c r="D18" s="6" t="s">
        <v>85</v>
      </c>
      <c r="E18" s="6" t="s">
        <v>102</v>
      </c>
      <c r="F18" s="5" t="s">
        <v>86</v>
      </c>
      <c r="G18" s="30" t="s">
        <v>87</v>
      </c>
    </row>
    <row r="19" spans="1:7" ht="29" x14ac:dyDescent="0.35">
      <c r="A19" s="17" t="s">
        <v>84</v>
      </c>
      <c r="B19" s="10" t="s">
        <v>100</v>
      </c>
      <c r="C19" s="6">
        <v>2</v>
      </c>
      <c r="D19" s="11" t="s">
        <v>88</v>
      </c>
      <c r="E19" s="6" t="s">
        <v>89</v>
      </c>
      <c r="F19" s="5" t="s">
        <v>90</v>
      </c>
      <c r="G19" s="30" t="s">
        <v>91</v>
      </c>
    </row>
    <row r="20" spans="1:7" ht="29" x14ac:dyDescent="0.35">
      <c r="A20" s="17" t="s">
        <v>84</v>
      </c>
      <c r="B20" s="10" t="s">
        <v>100</v>
      </c>
      <c r="C20" s="6">
        <v>3</v>
      </c>
      <c r="D20" s="11" t="s">
        <v>92</v>
      </c>
      <c r="E20" s="6" t="s">
        <v>93</v>
      </c>
      <c r="F20" s="6" t="s">
        <v>94</v>
      </c>
      <c r="G20" s="30" t="s">
        <v>95</v>
      </c>
    </row>
    <row r="21" spans="1:7" ht="29" x14ac:dyDescent="0.35">
      <c r="A21" s="17" t="s">
        <v>84</v>
      </c>
      <c r="B21" s="10" t="s">
        <v>100</v>
      </c>
      <c r="C21" s="6">
        <v>4</v>
      </c>
      <c r="D21" s="6" t="s">
        <v>96</v>
      </c>
      <c r="E21" s="6" t="s">
        <v>106</v>
      </c>
      <c r="F21" s="6" t="s">
        <v>97</v>
      </c>
      <c r="G21" s="31" t="s">
        <v>104</v>
      </c>
    </row>
    <row r="22" spans="1:7" ht="29" x14ac:dyDescent="0.35">
      <c r="A22" s="17" t="s">
        <v>84</v>
      </c>
      <c r="B22" s="10" t="s">
        <v>100</v>
      </c>
      <c r="C22" s="6">
        <v>5</v>
      </c>
      <c r="D22" s="6" t="s">
        <v>98</v>
      </c>
      <c r="E22" s="6" t="s">
        <v>105</v>
      </c>
      <c r="F22" s="6" t="s">
        <v>99</v>
      </c>
      <c r="G22" s="31" t="s">
        <v>103</v>
      </c>
    </row>
    <row r="23" spans="1:7" ht="29" x14ac:dyDescent="0.35">
      <c r="A23" s="18" t="s">
        <v>107</v>
      </c>
      <c r="B23" s="6" t="s">
        <v>108</v>
      </c>
      <c r="C23" s="6">
        <v>1</v>
      </c>
      <c r="D23" s="6" t="s">
        <v>109</v>
      </c>
      <c r="E23" s="6" t="s">
        <v>114</v>
      </c>
      <c r="F23" s="6" t="s">
        <v>117</v>
      </c>
      <c r="G23" s="30" t="s">
        <v>118</v>
      </c>
    </row>
    <row r="24" spans="1:7" ht="29" x14ac:dyDescent="0.35">
      <c r="A24" s="18" t="s">
        <v>107</v>
      </c>
      <c r="B24" s="6" t="s">
        <v>108</v>
      </c>
      <c r="C24" s="6">
        <v>2</v>
      </c>
      <c r="D24" s="6" t="s">
        <v>110</v>
      </c>
      <c r="E24" s="6" t="s">
        <v>115</v>
      </c>
      <c r="F24" s="6" t="s">
        <v>119</v>
      </c>
      <c r="G24" s="30" t="s">
        <v>122</v>
      </c>
    </row>
    <row r="25" spans="1:7" ht="58" x14ac:dyDescent="0.35">
      <c r="A25" s="18" t="s">
        <v>107</v>
      </c>
      <c r="B25" s="6" t="s">
        <v>108</v>
      </c>
      <c r="C25" s="6">
        <v>3</v>
      </c>
      <c r="D25" s="6" t="s">
        <v>111</v>
      </c>
      <c r="E25" s="6" t="s">
        <v>112</v>
      </c>
      <c r="F25" s="6"/>
      <c r="G25" s="30" t="s">
        <v>120</v>
      </c>
    </row>
    <row r="26" spans="1:7" ht="29" x14ac:dyDescent="0.35">
      <c r="A26" s="18" t="s">
        <v>107</v>
      </c>
      <c r="B26" s="6" t="s">
        <v>108</v>
      </c>
      <c r="C26" s="6">
        <v>4</v>
      </c>
      <c r="D26" s="6" t="s">
        <v>113</v>
      </c>
      <c r="E26" s="6" t="s">
        <v>116</v>
      </c>
      <c r="F26" s="6" t="s">
        <v>121</v>
      </c>
      <c r="G26" s="30" t="s">
        <v>123</v>
      </c>
    </row>
    <row r="27" spans="1:7" ht="58" x14ac:dyDescent="0.35">
      <c r="A27" s="19" t="s">
        <v>124</v>
      </c>
      <c r="B27" s="6" t="s">
        <v>125</v>
      </c>
      <c r="C27" s="6">
        <v>1</v>
      </c>
      <c r="D27" s="6" t="s">
        <v>126</v>
      </c>
      <c r="E27" s="6" t="s">
        <v>127</v>
      </c>
      <c r="F27" s="6" t="s">
        <v>133</v>
      </c>
      <c r="G27" s="30" t="s">
        <v>132</v>
      </c>
    </row>
    <row r="28" spans="1:7" ht="43.5" x14ac:dyDescent="0.35">
      <c r="A28" s="19" t="s">
        <v>124</v>
      </c>
      <c r="B28" s="6" t="s">
        <v>125</v>
      </c>
      <c r="C28" s="6">
        <v>2</v>
      </c>
      <c r="D28" s="6" t="s">
        <v>128</v>
      </c>
      <c r="E28" s="6" t="s">
        <v>129</v>
      </c>
      <c r="F28" s="6" t="s">
        <v>130</v>
      </c>
      <c r="G28" s="32" t="s">
        <v>131</v>
      </c>
    </row>
    <row r="29" spans="1:7" ht="29" x14ac:dyDescent="0.35">
      <c r="A29" s="20" t="s">
        <v>134</v>
      </c>
      <c r="B29" s="6" t="s">
        <v>135</v>
      </c>
      <c r="C29" s="6">
        <v>1</v>
      </c>
      <c r="D29" s="6" t="s">
        <v>31</v>
      </c>
      <c r="E29" s="6" t="s">
        <v>151</v>
      </c>
      <c r="F29" s="6" t="s">
        <v>153</v>
      </c>
      <c r="G29" s="30" t="s">
        <v>32</v>
      </c>
    </row>
    <row r="30" spans="1:7" x14ac:dyDescent="0.35">
      <c r="A30" s="20" t="s">
        <v>134</v>
      </c>
      <c r="B30" s="6" t="s">
        <v>135</v>
      </c>
      <c r="C30" s="6">
        <v>2</v>
      </c>
      <c r="D30" s="6" t="s">
        <v>136</v>
      </c>
      <c r="E30" s="6" t="s">
        <v>136</v>
      </c>
      <c r="F30" s="11" t="s">
        <v>154</v>
      </c>
      <c r="G30" s="30"/>
    </row>
    <row r="31" spans="1:7" x14ac:dyDescent="0.35">
      <c r="A31" s="20"/>
      <c r="B31" s="6" t="s">
        <v>135</v>
      </c>
      <c r="C31" s="6">
        <v>3</v>
      </c>
      <c r="D31" s="6" t="s">
        <v>137</v>
      </c>
      <c r="E31" s="6" t="s">
        <v>138</v>
      </c>
      <c r="F31" s="11" t="s">
        <v>154</v>
      </c>
      <c r="G31" s="30" t="s">
        <v>159</v>
      </c>
    </row>
    <row r="32" spans="1:7" ht="29" x14ac:dyDescent="0.35">
      <c r="A32" s="20" t="s">
        <v>134</v>
      </c>
      <c r="B32" s="6" t="s">
        <v>135</v>
      </c>
      <c r="C32" s="6">
        <v>4</v>
      </c>
      <c r="D32" s="6" t="s">
        <v>139</v>
      </c>
      <c r="E32" s="6" t="s">
        <v>140</v>
      </c>
      <c r="F32" s="6"/>
      <c r="G32" s="30" t="s">
        <v>160</v>
      </c>
    </row>
    <row r="33" spans="1:7" x14ac:dyDescent="0.35">
      <c r="A33" s="20" t="s">
        <v>134</v>
      </c>
      <c r="B33" s="6" t="s">
        <v>135</v>
      </c>
      <c r="C33" s="6">
        <v>5</v>
      </c>
      <c r="D33" s="6" t="s">
        <v>141</v>
      </c>
      <c r="E33" s="6" t="s">
        <v>142</v>
      </c>
      <c r="F33" s="6"/>
      <c r="G33" s="30" t="s">
        <v>166</v>
      </c>
    </row>
    <row r="34" spans="1:7" ht="29" x14ac:dyDescent="0.35">
      <c r="A34" s="20" t="s">
        <v>134</v>
      </c>
      <c r="B34" s="6" t="s">
        <v>135</v>
      </c>
      <c r="C34" s="6">
        <v>6</v>
      </c>
      <c r="D34" s="6" t="s">
        <v>33</v>
      </c>
      <c r="E34" s="6" t="s">
        <v>152</v>
      </c>
      <c r="F34" s="6" t="s">
        <v>155</v>
      </c>
      <c r="G34" s="30" t="s">
        <v>161</v>
      </c>
    </row>
    <row r="35" spans="1:7" x14ac:dyDescent="0.35">
      <c r="A35" s="20" t="s">
        <v>134</v>
      </c>
      <c r="B35" s="6" t="s">
        <v>135</v>
      </c>
      <c r="C35" s="6">
        <v>7</v>
      </c>
      <c r="D35" s="6" t="s">
        <v>143</v>
      </c>
      <c r="E35" s="6" t="s">
        <v>144</v>
      </c>
      <c r="F35" s="6"/>
      <c r="G35" s="30" t="s">
        <v>162</v>
      </c>
    </row>
    <row r="36" spans="1:7" x14ac:dyDescent="0.35">
      <c r="A36" s="20" t="s">
        <v>134</v>
      </c>
      <c r="B36" s="6" t="s">
        <v>135</v>
      </c>
      <c r="C36" s="6">
        <v>8</v>
      </c>
      <c r="D36" s="6" t="s">
        <v>145</v>
      </c>
      <c r="E36" s="6" t="s">
        <v>146</v>
      </c>
      <c r="F36" s="6" t="s">
        <v>34</v>
      </c>
      <c r="G36" s="30" t="s">
        <v>163</v>
      </c>
    </row>
    <row r="37" spans="1:7" ht="29" x14ac:dyDescent="0.35">
      <c r="A37" s="20" t="s">
        <v>134</v>
      </c>
      <c r="B37" s="6" t="s">
        <v>135</v>
      </c>
      <c r="C37" s="6">
        <v>9</v>
      </c>
      <c r="D37" s="6" t="s">
        <v>147</v>
      </c>
      <c r="E37" s="6" t="s">
        <v>148</v>
      </c>
      <c r="F37" s="6" t="s">
        <v>156</v>
      </c>
      <c r="G37" s="30" t="s">
        <v>164</v>
      </c>
    </row>
    <row r="38" spans="1:7" x14ac:dyDescent="0.35">
      <c r="A38" s="20" t="s">
        <v>134</v>
      </c>
      <c r="B38" s="6" t="s">
        <v>135</v>
      </c>
      <c r="C38" s="6">
        <v>10</v>
      </c>
      <c r="D38" s="6" t="s">
        <v>149</v>
      </c>
      <c r="E38" s="6" t="s">
        <v>150</v>
      </c>
      <c r="F38" s="6" t="s">
        <v>157</v>
      </c>
      <c r="G38" s="30" t="s">
        <v>165</v>
      </c>
    </row>
    <row r="39" spans="1:7" ht="29" x14ac:dyDescent="0.35">
      <c r="A39" s="21" t="s">
        <v>167</v>
      </c>
      <c r="B39" s="6" t="s">
        <v>168</v>
      </c>
      <c r="C39" s="6">
        <v>1</v>
      </c>
      <c r="D39" s="6" t="s">
        <v>169</v>
      </c>
      <c r="E39" s="6" t="s">
        <v>170</v>
      </c>
      <c r="F39" s="6" t="s">
        <v>172</v>
      </c>
      <c r="G39" s="30" t="s">
        <v>171</v>
      </c>
    </row>
    <row r="40" spans="1:7" ht="29" x14ac:dyDescent="0.35">
      <c r="A40" s="22" t="s">
        <v>173</v>
      </c>
      <c r="B40" s="6" t="s">
        <v>174</v>
      </c>
      <c r="C40" s="6">
        <v>1</v>
      </c>
      <c r="D40" s="6" t="s">
        <v>175</v>
      </c>
      <c r="E40" s="6" t="s">
        <v>176</v>
      </c>
      <c r="F40" s="6" t="s">
        <v>158</v>
      </c>
      <c r="G40" s="32" t="s">
        <v>180</v>
      </c>
    </row>
    <row r="41" spans="1:7" x14ac:dyDescent="0.35">
      <c r="A41" s="22" t="s">
        <v>173</v>
      </c>
      <c r="B41" s="6" t="s">
        <v>174</v>
      </c>
      <c r="C41" s="6">
        <v>2</v>
      </c>
      <c r="D41" s="6" t="s">
        <v>177</v>
      </c>
      <c r="E41" s="6" t="s">
        <v>177</v>
      </c>
      <c r="F41" s="10"/>
      <c r="G41" s="32"/>
    </row>
    <row r="42" spans="1:7" x14ac:dyDescent="0.35">
      <c r="A42" s="22" t="s">
        <v>173</v>
      </c>
      <c r="B42" s="6" t="s">
        <v>174</v>
      </c>
      <c r="C42" s="6">
        <v>3</v>
      </c>
      <c r="D42" s="6" t="s">
        <v>178</v>
      </c>
      <c r="E42" s="6" t="s">
        <v>179</v>
      </c>
      <c r="F42" s="10" t="s">
        <v>181</v>
      </c>
      <c r="G42" s="32" t="s">
        <v>182</v>
      </c>
    </row>
    <row r="43" spans="1:7" ht="43.5" x14ac:dyDescent="0.35">
      <c r="A43" s="23" t="s">
        <v>183</v>
      </c>
      <c r="B43" s="6" t="s">
        <v>184</v>
      </c>
      <c r="C43" s="6">
        <v>1</v>
      </c>
      <c r="D43" s="6" t="s">
        <v>187</v>
      </c>
      <c r="E43" s="6" t="s">
        <v>188</v>
      </c>
      <c r="F43" s="10" t="s">
        <v>193</v>
      </c>
      <c r="G43" s="32" t="s">
        <v>192</v>
      </c>
    </row>
    <row r="44" spans="1:7" ht="43.5" x14ac:dyDescent="0.35">
      <c r="A44" s="23" t="s">
        <v>183</v>
      </c>
      <c r="B44" s="6" t="s">
        <v>184</v>
      </c>
      <c r="C44" s="6">
        <v>2</v>
      </c>
      <c r="D44" s="6" t="s">
        <v>185</v>
      </c>
      <c r="E44" s="6" t="s">
        <v>186</v>
      </c>
      <c r="F44" s="10" t="s">
        <v>195</v>
      </c>
      <c r="G44" s="32" t="s">
        <v>194</v>
      </c>
    </row>
    <row r="45" spans="1:7" ht="29" x14ac:dyDescent="0.35">
      <c r="A45" s="23" t="s">
        <v>183</v>
      </c>
      <c r="B45" s="6" t="s">
        <v>184</v>
      </c>
      <c r="C45" s="6">
        <v>3</v>
      </c>
      <c r="D45" s="6" t="s">
        <v>189</v>
      </c>
      <c r="E45" s="6" t="s">
        <v>201</v>
      </c>
      <c r="F45" s="6" t="s">
        <v>196</v>
      </c>
      <c r="G45" s="32" t="s">
        <v>199</v>
      </c>
    </row>
    <row r="46" spans="1:7" ht="43.5" x14ac:dyDescent="0.35">
      <c r="A46" s="23" t="s">
        <v>183</v>
      </c>
      <c r="B46" s="6" t="s">
        <v>184</v>
      </c>
      <c r="C46" s="6">
        <v>4</v>
      </c>
      <c r="D46" s="6" t="s">
        <v>190</v>
      </c>
      <c r="E46" s="6" t="s">
        <v>202</v>
      </c>
      <c r="F46" s="6" t="s">
        <v>197</v>
      </c>
      <c r="G46" s="32" t="s">
        <v>200</v>
      </c>
    </row>
    <row r="47" spans="1:7" x14ac:dyDescent="0.35">
      <c r="A47" s="23" t="s">
        <v>183</v>
      </c>
      <c r="B47" s="6" t="s">
        <v>184</v>
      </c>
      <c r="C47" s="6">
        <v>5</v>
      </c>
      <c r="D47" s="6" t="s">
        <v>191</v>
      </c>
      <c r="E47" s="6" t="s">
        <v>191</v>
      </c>
      <c r="F47" s="5" t="s">
        <v>198</v>
      </c>
      <c r="G47" s="32" t="s">
        <v>203</v>
      </c>
    </row>
    <row r="48" spans="1:7" x14ac:dyDescent="0.35">
      <c r="A48" s="24" t="s">
        <v>204</v>
      </c>
      <c r="B48" s="6" t="s">
        <v>205</v>
      </c>
      <c r="C48" s="6">
        <v>1</v>
      </c>
      <c r="D48" s="6" t="s">
        <v>206</v>
      </c>
      <c r="E48" s="6" t="s">
        <v>207</v>
      </c>
      <c r="F48" s="10"/>
      <c r="G48" s="32"/>
    </row>
    <row r="49" spans="1:7" x14ac:dyDescent="0.35">
      <c r="A49" s="24" t="s">
        <v>204</v>
      </c>
      <c r="B49" s="6" t="s">
        <v>205</v>
      </c>
      <c r="C49" s="6">
        <v>2</v>
      </c>
      <c r="D49" s="6" t="s">
        <v>208</v>
      </c>
      <c r="E49" s="6" t="s">
        <v>209</v>
      </c>
      <c r="F49" s="10"/>
      <c r="G49" s="32" t="s">
        <v>212</v>
      </c>
    </row>
    <row r="50" spans="1:7" x14ac:dyDescent="0.35">
      <c r="A50" s="24" t="s">
        <v>204</v>
      </c>
      <c r="B50" s="6" t="s">
        <v>205</v>
      </c>
      <c r="C50" s="6">
        <v>3</v>
      </c>
      <c r="D50" s="6" t="s">
        <v>210</v>
      </c>
      <c r="E50" s="6" t="s">
        <v>213</v>
      </c>
      <c r="F50" s="10"/>
      <c r="G50" s="32" t="s">
        <v>214</v>
      </c>
    </row>
    <row r="51" spans="1:7" x14ac:dyDescent="0.35">
      <c r="A51" s="24" t="s">
        <v>204</v>
      </c>
      <c r="B51" s="6" t="s">
        <v>205</v>
      </c>
      <c r="C51" s="6">
        <v>4</v>
      </c>
      <c r="D51" s="6" t="s">
        <v>211</v>
      </c>
      <c r="E51" s="6" t="s">
        <v>215</v>
      </c>
      <c r="F51" s="10" t="s">
        <v>224</v>
      </c>
      <c r="G51" s="32" t="s">
        <v>223</v>
      </c>
    </row>
    <row r="52" spans="1:7" ht="29" x14ac:dyDescent="0.35">
      <c r="A52" s="25" t="s">
        <v>216</v>
      </c>
      <c r="B52" s="6" t="s">
        <v>217</v>
      </c>
      <c r="C52" s="6">
        <v>1</v>
      </c>
      <c r="D52" s="6" t="s">
        <v>218</v>
      </c>
      <c r="E52" s="6" t="s">
        <v>225</v>
      </c>
      <c r="F52" s="6" t="s">
        <v>158</v>
      </c>
      <c r="G52" s="32" t="s">
        <v>180</v>
      </c>
    </row>
    <row r="53" spans="1:7" x14ac:dyDescent="0.35">
      <c r="A53" s="25" t="s">
        <v>216</v>
      </c>
      <c r="B53" s="6" t="s">
        <v>217</v>
      </c>
      <c r="C53" s="6">
        <v>2</v>
      </c>
      <c r="D53" s="6" t="s">
        <v>219</v>
      </c>
      <c r="E53" s="6" t="s">
        <v>226</v>
      </c>
      <c r="F53" s="10"/>
      <c r="G53" s="32" t="s">
        <v>227</v>
      </c>
    </row>
    <row r="54" spans="1:7" x14ac:dyDescent="0.35">
      <c r="A54" s="25" t="s">
        <v>216</v>
      </c>
      <c r="B54" s="6" t="s">
        <v>217</v>
      </c>
      <c r="C54" s="6">
        <v>3</v>
      </c>
      <c r="D54" s="6" t="s">
        <v>220</v>
      </c>
      <c r="E54" s="6" t="s">
        <v>222</v>
      </c>
      <c r="F54" s="10"/>
      <c r="G54" s="32" t="s">
        <v>228</v>
      </c>
    </row>
    <row r="55" spans="1:7" x14ac:dyDescent="0.35">
      <c r="A55" s="25" t="s">
        <v>216</v>
      </c>
      <c r="B55" s="6" t="s">
        <v>217</v>
      </c>
      <c r="C55" s="6">
        <v>4</v>
      </c>
      <c r="D55" s="6" t="s">
        <v>221</v>
      </c>
      <c r="E55" s="6" t="s">
        <v>229</v>
      </c>
      <c r="F55" s="10"/>
      <c r="G55" s="32" t="s">
        <v>230</v>
      </c>
    </row>
    <row r="56" spans="1:7" x14ac:dyDescent="0.35">
      <c r="A56" s="26" t="s">
        <v>231</v>
      </c>
      <c r="B56" s="6" t="s">
        <v>232</v>
      </c>
      <c r="C56" s="6">
        <v>1</v>
      </c>
      <c r="D56" s="6" t="s">
        <v>233</v>
      </c>
      <c r="E56" s="6" t="s">
        <v>246</v>
      </c>
      <c r="F56" s="6" t="s">
        <v>276</v>
      </c>
      <c r="G56" s="32" t="s">
        <v>247</v>
      </c>
    </row>
    <row r="57" spans="1:7" ht="29" x14ac:dyDescent="0.35">
      <c r="A57" s="26" t="s">
        <v>231</v>
      </c>
      <c r="B57" s="6" t="s">
        <v>232</v>
      </c>
      <c r="C57" s="6">
        <v>2</v>
      </c>
      <c r="D57" s="6" t="s">
        <v>234</v>
      </c>
      <c r="E57" s="6" t="s">
        <v>235</v>
      </c>
      <c r="F57" s="10"/>
      <c r="G57" s="32" t="s">
        <v>248</v>
      </c>
    </row>
    <row r="58" spans="1:7" x14ac:dyDescent="0.35">
      <c r="A58" s="26" t="s">
        <v>231</v>
      </c>
      <c r="B58" s="6" t="s">
        <v>232</v>
      </c>
      <c r="C58" s="6">
        <v>3</v>
      </c>
      <c r="D58" s="6" t="s">
        <v>236</v>
      </c>
      <c r="E58" s="6" t="s">
        <v>236</v>
      </c>
      <c r="F58" s="6" t="s">
        <v>276</v>
      </c>
      <c r="G58" s="32" t="s">
        <v>249</v>
      </c>
    </row>
    <row r="59" spans="1:7" x14ac:dyDescent="0.35">
      <c r="A59" s="26" t="s">
        <v>231</v>
      </c>
      <c r="B59" s="6" t="s">
        <v>232</v>
      </c>
      <c r="C59" s="6">
        <v>4</v>
      </c>
      <c r="D59" s="6" t="s">
        <v>237</v>
      </c>
      <c r="E59" s="6" t="s">
        <v>237</v>
      </c>
      <c r="F59" s="6" t="s">
        <v>276</v>
      </c>
      <c r="G59" s="32" t="s">
        <v>250</v>
      </c>
    </row>
    <row r="60" spans="1:7" x14ac:dyDescent="0.35">
      <c r="A60" s="26" t="s">
        <v>231</v>
      </c>
      <c r="B60" s="6" t="s">
        <v>232</v>
      </c>
      <c r="C60" s="6">
        <v>5</v>
      </c>
      <c r="D60" s="6" t="s">
        <v>238</v>
      </c>
      <c r="E60" s="6" t="s">
        <v>239</v>
      </c>
      <c r="F60" s="6" t="s">
        <v>276</v>
      </c>
      <c r="G60" s="32" t="s">
        <v>251</v>
      </c>
    </row>
    <row r="61" spans="1:7" ht="29" x14ac:dyDescent="0.35">
      <c r="A61" s="26" t="s">
        <v>231</v>
      </c>
      <c r="B61" s="6" t="s">
        <v>232</v>
      </c>
      <c r="C61" s="6">
        <v>6</v>
      </c>
      <c r="D61" s="6" t="s">
        <v>240</v>
      </c>
      <c r="E61" s="6" t="s">
        <v>241</v>
      </c>
      <c r="F61" s="6" t="s">
        <v>275</v>
      </c>
      <c r="G61" s="32" t="s">
        <v>253</v>
      </c>
    </row>
    <row r="62" spans="1:7" x14ac:dyDescent="0.35">
      <c r="A62" s="26" t="s">
        <v>231</v>
      </c>
      <c r="B62" s="6" t="s">
        <v>232</v>
      </c>
      <c r="C62" s="6">
        <v>7</v>
      </c>
      <c r="D62" s="7" t="s">
        <v>242</v>
      </c>
      <c r="E62" s="7" t="s">
        <v>243</v>
      </c>
      <c r="F62" s="10"/>
      <c r="G62" s="32" t="s">
        <v>252</v>
      </c>
    </row>
    <row r="63" spans="1:7" ht="29" x14ac:dyDescent="0.35">
      <c r="A63" s="26" t="s">
        <v>231</v>
      </c>
      <c r="B63" s="6" t="s">
        <v>232</v>
      </c>
      <c r="C63" s="6">
        <v>8</v>
      </c>
      <c r="D63" s="6" t="s">
        <v>244</v>
      </c>
      <c r="E63" s="6" t="s">
        <v>245</v>
      </c>
      <c r="F63" s="10"/>
      <c r="G63" s="32" t="s">
        <v>254</v>
      </c>
    </row>
    <row r="64" spans="1:7" x14ac:dyDescent="0.35">
      <c r="A64" s="27" t="s">
        <v>255</v>
      </c>
      <c r="B64" s="6" t="s">
        <v>256</v>
      </c>
      <c r="C64" s="6">
        <v>1</v>
      </c>
      <c r="D64" s="6" t="s">
        <v>257</v>
      </c>
      <c r="E64" s="6" t="s">
        <v>257</v>
      </c>
      <c r="F64" s="10"/>
      <c r="G64" s="32" t="s">
        <v>268</v>
      </c>
    </row>
    <row r="65" spans="1:7" x14ac:dyDescent="0.35">
      <c r="A65" s="27" t="s">
        <v>255</v>
      </c>
      <c r="B65" s="6" t="s">
        <v>256</v>
      </c>
      <c r="C65" s="6">
        <v>2</v>
      </c>
      <c r="D65" s="6" t="s">
        <v>258</v>
      </c>
      <c r="E65" s="6" t="s">
        <v>259</v>
      </c>
      <c r="F65" s="10" t="s">
        <v>271</v>
      </c>
      <c r="G65" s="32" t="s">
        <v>269</v>
      </c>
    </row>
    <row r="66" spans="1:7" x14ac:dyDescent="0.35">
      <c r="A66" s="27" t="s">
        <v>255</v>
      </c>
      <c r="B66" s="6" t="s">
        <v>256</v>
      </c>
      <c r="C66" s="6">
        <v>3</v>
      </c>
      <c r="D66" s="6" t="s">
        <v>260</v>
      </c>
      <c r="E66" s="6" t="s">
        <v>266</v>
      </c>
      <c r="F66" s="10" t="s">
        <v>271</v>
      </c>
      <c r="G66" s="32"/>
    </row>
    <row r="67" spans="1:7" ht="29" x14ac:dyDescent="0.35">
      <c r="A67" s="27" t="s">
        <v>255</v>
      </c>
      <c r="B67" s="6" t="s">
        <v>256</v>
      </c>
      <c r="C67" s="6">
        <v>4</v>
      </c>
      <c r="D67" s="6" t="s">
        <v>261</v>
      </c>
      <c r="E67" s="6" t="s">
        <v>267</v>
      </c>
      <c r="F67" s="6" t="s">
        <v>274</v>
      </c>
      <c r="G67" s="32" t="s">
        <v>270</v>
      </c>
    </row>
    <row r="68" spans="1:7" ht="29" x14ac:dyDescent="0.35">
      <c r="A68" s="27" t="s">
        <v>255</v>
      </c>
      <c r="B68" s="6" t="s">
        <v>256</v>
      </c>
      <c r="C68" s="6">
        <v>5</v>
      </c>
      <c r="D68" s="6" t="s">
        <v>262</v>
      </c>
      <c r="E68" s="6" t="s">
        <v>263</v>
      </c>
      <c r="F68" s="6" t="s">
        <v>273</v>
      </c>
      <c r="G68" s="32" t="s">
        <v>272</v>
      </c>
    </row>
    <row r="69" spans="1:7" x14ac:dyDescent="0.35">
      <c r="A69" s="27" t="s">
        <v>255</v>
      </c>
      <c r="B69" s="6" t="s">
        <v>256</v>
      </c>
      <c r="C69" s="6">
        <v>6</v>
      </c>
      <c r="D69" s="6" t="s">
        <v>264</v>
      </c>
      <c r="E69" s="6" t="s">
        <v>265</v>
      </c>
      <c r="F69" s="10"/>
      <c r="G69" s="32" t="s">
        <v>277</v>
      </c>
    </row>
    <row r="70" spans="1:7" ht="29" x14ac:dyDescent="0.35">
      <c r="A70" s="21" t="s">
        <v>278</v>
      </c>
      <c r="B70" s="6" t="s">
        <v>279</v>
      </c>
      <c r="C70" s="6">
        <v>1</v>
      </c>
      <c r="D70" s="12" t="s">
        <v>280</v>
      </c>
      <c r="E70" s="6" t="s">
        <v>281</v>
      </c>
      <c r="F70" s="6" t="s">
        <v>286</v>
      </c>
      <c r="G70" s="32" t="s">
        <v>287</v>
      </c>
    </row>
    <row r="71" spans="1:7" x14ac:dyDescent="0.35">
      <c r="A71" s="21" t="s">
        <v>278</v>
      </c>
      <c r="B71" s="6" t="s">
        <v>279</v>
      </c>
      <c r="C71" s="6">
        <v>2</v>
      </c>
      <c r="D71" s="11" t="s">
        <v>282</v>
      </c>
      <c r="E71" s="6" t="s">
        <v>283</v>
      </c>
      <c r="F71" s="10"/>
      <c r="G71" s="32"/>
    </row>
    <row r="72" spans="1:7" x14ac:dyDescent="0.35">
      <c r="A72" s="21" t="s">
        <v>278</v>
      </c>
      <c r="B72" s="6" t="s">
        <v>279</v>
      </c>
      <c r="C72" s="6">
        <v>3</v>
      </c>
      <c r="D72" s="6" t="s">
        <v>284</v>
      </c>
      <c r="E72" s="6" t="s">
        <v>285</v>
      </c>
      <c r="F72" s="10" t="s">
        <v>289</v>
      </c>
      <c r="G72" s="30" t="s">
        <v>288</v>
      </c>
    </row>
    <row r="73" spans="1:7" ht="29" x14ac:dyDescent="0.35">
      <c r="A73" s="28" t="s">
        <v>290</v>
      </c>
      <c r="B73" s="6" t="s">
        <v>291</v>
      </c>
      <c r="C73" s="6">
        <v>1</v>
      </c>
      <c r="D73" s="6" t="s">
        <v>292</v>
      </c>
      <c r="E73" s="6" t="s">
        <v>292</v>
      </c>
      <c r="F73" s="10" t="s">
        <v>289</v>
      </c>
      <c r="G73" s="32" t="s">
        <v>293</v>
      </c>
    </row>
    <row r="74" spans="1:7" ht="29" x14ac:dyDescent="0.35">
      <c r="A74" s="36" t="s">
        <v>294</v>
      </c>
      <c r="B74" s="37" t="s">
        <v>295</v>
      </c>
      <c r="C74" s="37">
        <v>1</v>
      </c>
      <c r="D74" s="38" t="s">
        <v>296</v>
      </c>
      <c r="E74" s="37" t="s">
        <v>297</v>
      </c>
      <c r="F74" s="39" t="s">
        <v>299</v>
      </c>
      <c r="G74" s="40" t="s">
        <v>298</v>
      </c>
    </row>
    <row r="75" spans="1:7" x14ac:dyDescent="0.35">
      <c r="A75" s="42" t="s">
        <v>300</v>
      </c>
      <c r="B75" s="43"/>
      <c r="C75" s="43"/>
      <c r="D75" s="41"/>
      <c r="E75" s="43"/>
      <c r="F75" s="39"/>
      <c r="G75" s="40">
        <f>SUBTOTAL(103,Table3[Google Plus Code (hoặc toạ độ lat,lng)])</f>
        <v>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Kho xuất phát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Vuong Ngo</cp:lastModifiedBy>
  <dcterms:created xsi:type="dcterms:W3CDTF">2026-07-02T02:25:43Z</dcterms:created>
  <dcterms:modified xsi:type="dcterms:W3CDTF">2026-07-08T04:52:13Z</dcterms:modified>
</cp:coreProperties>
</file>