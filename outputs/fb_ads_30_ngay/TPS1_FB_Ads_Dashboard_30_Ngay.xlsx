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94f76138f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b8d306aac44e0f"/>
    <x:sheet xmlns:r="http://schemas.openxmlformats.org/officeDocument/2006/relationships" name="Daily Input" sheetId="2" r:id="R13e846314552491f"/>
    <x:sheet xmlns:r="http://schemas.openxmlformats.org/officeDocument/2006/relationships" name="Leads" sheetId="3" r:id="Rfec5a888e1264825"/>
    <x:sheet xmlns:r="http://schemas.openxmlformats.org/officeDocument/2006/relationships" name="Setup &amp; Sources" sheetId="4" r:id="Rcb8254083199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 [$₫-vi-VN]"/>
    <x:numFmt numFmtId="201" formatCode="#,##0"/>
    <x:numFmt numFmtId="202" formatCode="0.0%"/>
    <x:numFmt numFmtId="203" formatCode="0%"/>
    <x:numFmt numFmtId="204" formatCode="yyyy-mm-dd"/>
    <x:numFmt numFmtId="205" formatCode="0.00%"/>
    <x:numFmt numFmtId="206" formatCode="0"/>
    <x:numFmt numFmtId="207" formatCode="yyyy-mm-dd hh:mm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E2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E21"/>
      </x:patternFill>
    </x:fill>
    <x:fill>
      <x:patternFill patternType="solid">
        <x:fgColor rgb="FFEAF7F0"/>
      </x:patternFill>
    </x:fill>
    <x:fill>
      <x:patternFill patternType="solid">
        <x:fgColor rgb="FF0F6F4B"/>
      </x:patternFill>
    </x:fill>
    <x:fill>
      <x:patternFill patternType="solid">
        <x:fgColor rgb="FFFFF4CC"/>
      </x:patternFill>
    </x:fill>
  </x:fills>
  <x:borders count="4">
    <x:border/>
    <x:border>
      <x:right style="thin">
        <x:color rgb="FFD7E5DD"/>
      </x:right>
    </x:border>
    <x:border>
      <x:left style="thin">
        <x:color rgb="FFD7E5DD"/>
      </x:left>
      <x:right style="thin">
        <x:color rgb="FFD7E5DD"/>
      </x:right>
    </x:border>
    <x:border>
      <x:left style="thin">
        <x:color rgb="FFD7E5DD"/>
      </x:left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6" fontId="0" fillId="0" borderId="0" xfId="0" applyNumberFormat="1" applyFont="1" applyFill="1" applyBorder="1"/>
    <x:xf numFmtId="207" fontId="0" fillId="5" borderId="0" xfId="0" applyNumberFormat="1" applyFont="1" applyFill="1" applyBorder="1"/>
    <x:xf numFmtId="20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0328fbd1448d0" /><Relationship Type="http://schemas.openxmlformats.org/officeDocument/2006/relationships/theme" Target="/xl/theme/theme1.xml" Id="Re35ba766a4d84333" /><Relationship Type="http://schemas.openxmlformats.org/officeDocument/2006/relationships/sharedStrings" Target="/xl/sharedStrings.xml" Id="Rf86bc1b1f4044ba4" /><Relationship Type="http://schemas.openxmlformats.org/officeDocument/2006/relationships/worksheet" Target="/xl/worksheets/sheet1.xml" Id="R7bb8d306aac44e0f" /><Relationship Type="http://schemas.openxmlformats.org/officeDocument/2006/relationships/worksheet" Target="/xl/worksheets/sheet2.xml" Id="R13e846314552491f" /><Relationship Type="http://schemas.openxmlformats.org/officeDocument/2006/relationships/worksheet" Target="/xl/worksheets/sheet3.xml" Id="Rfec5a888e1264825" /><Relationship Type="http://schemas.openxmlformats.org/officeDocument/2006/relationships/worksheet" Target="/xl/worksheets/sheet4.xml" Id="Rcb825408319940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95057fd89c4f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Phân bổ ngân sách 6 triệu đồng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Ngày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Ngân sách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#,##0 [$₫-vi-VN]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95057fd89c4f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f7c22e7b244c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2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2" t="str">
        <x:v>TPS1 — FACEBOOK ADS 30 NGÀY | DASHBOARD CPQL</x:v>
      </x:c>
      <x:c r="B1" s="22" t="str">
        <x:v>TPS1 — FACEBOOK ADS 30 NGÀY | DASHBOARD CPQL</x:v>
      </x:c>
      <x:c r="C1" s="22" t="str">
        <x:v>TPS1 — FACEBOOK ADS 30 NGÀY | DASHBOARD CPQL</x:v>
      </x:c>
      <x:c r="D1" s="22" t="str">
        <x:v>TPS1 — FACEBOOK ADS 30 NGÀY | DASHBOARD CPQL</x:v>
      </x:c>
      <x:c r="E1" s="22" t="str">
        <x:v>TPS1 — FACEBOOK ADS 30 NGÀY | DASHBOARD CPQL</x:v>
      </x:c>
      <x:c r="F1" s="22" t="str">
        <x:v>TPS1 — FACEBOOK ADS 30 NGÀY | DASHBOARD CPQL</x:v>
      </x:c>
      <x:c r="G1" s="22" t="str">
        <x:v>TPS1 — FACEBOOK ADS 30 NGÀY | DASHBOARD CPQL</x:v>
      </x:c>
      <x:c r="H1" s="22" t="str">
        <x:v>TPS1 — FACEBOOK ADS 30 NGÀY | DASHBOARD CPQL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5" t="str">
        <x:v>Ngân sách kế hoạch</x:v>
      </x:c>
      <x:c r="B3" s="6" t="n">
        <x:v>6000000</x:v>
      </x:c>
      <x:c r="D3" s="5" t="str">
        <x:v>Mục tiêu lead thấp</x:v>
      </x:c>
      <x:c r="E3" s="7" t="n">
        <x:v>20</x:v>
      </x:c>
    </x:row>
    <x:row r="4">
      <x:c r="A4" s="5" t="str">
        <x:v>Chi tiêu</x:v>
      </x:c>
      <x:c r="B4" s="6" t="n">
        <x:f>SUM('Daily Input'!D2:D31)</x:f>
        <x:v>0</x:v>
      </x:c>
      <x:c r="D4" s="5" t="str">
        <x:v>Mục tiêu lead cao</x:v>
      </x:c>
      <x:c r="E4" s="7" t="n">
        <x:v>35</x:v>
      </x:c>
    </x:row>
    <x:row r="5">
      <x:c r="A5" s="5" t="str">
        <x:v>Leads</x:v>
      </x:c>
      <x:c r="B5" s="7" t="n">
        <x:f>SUM('Daily Input'!K2:K31)</x:f>
        <x:v>0</x:v>
      </x:c>
      <x:c r="D5" s="5" t="str">
        <x:v>Mục tiêu QL thấp</x:v>
      </x:c>
      <x:c r="E5" s="7" t="n">
        <x:v>8</x:v>
      </x:c>
    </x:row>
    <x:row r="6">
      <x:c r="A6" s="5" t="str">
        <x:v>Qualified Leads</x:v>
      </x:c>
      <x:c r="B6" s="7" t="n">
        <x:f>SUM('Daily Input'!L2:L31)</x:f>
        <x:v>0</x:v>
      </x:c>
      <x:c r="D6" s="5" t="str">
        <x:v>Mục tiêu QL cao</x:v>
      </x:c>
      <x:c r="E6" s="7" t="n">
        <x:v>15</x:v>
      </x:c>
    </x:row>
    <x:row r="7">
      <x:c r="A7" s="5" t="str">
        <x:v>CPQL</x:v>
      </x:c>
      <x:c r="B7" s="6" t="n">
        <x:f>IFERROR(B4/B6,0)</x:f>
        <x:v>0</x:v>
      </x:c>
      <x:c r="D7" s="5" t="str">
        <x:v>Mục tiêu gửi list</x:v>
      </x:c>
      <x:c r="E7" s="7" t="n">
        <x:v>5</x:v>
      </x:c>
    </x:row>
    <x:row r="8">
      <x:c r="A8" s="5" t="str">
        <x:v>Tỷ lệ phản hồi ≤15 phút</x:v>
      </x:c>
      <x:c r="B8" s="8" t="n">
        <x:f>IFERROR(COUNTIFS(Leads!T2:T201,"&lt;=15",Leads!T2:T201,"&gt;=0")/COUNT(Leads!T2:T201),0)</x:f>
        <x:v>0</x:v>
      </x:c>
      <x:c r="D8" s="5" t="str">
        <x:v>Mục tiêu báo giá</x:v>
      </x:c>
      <x:c r="E8" s="7" t="n">
        <x:v>2</x:v>
      </x:c>
    </x:row>
    <x:row r="9">
      <x:c r="A9" s="5" t="str">
        <x:v>Số yêu cầu báo giá</x:v>
      </x:c>
      <x:c r="B9" t="n">
        <x:f>COUNTIF(Leads!S2:S201,"QuoteRequested")+COUNTIF(Leads!S2:S201,"Opportunity")+COUNTIF(Leads!S2:S201,"Won")</x:f>
        <x:v>0</x:v>
      </x:c>
      <x:c r="D9" s="5" t="str">
        <x:v>SLA phản hồi</x:v>
      </x:c>
      <x:c r="E9" s="9" t="n">
        <x:v>0.9</x:v>
      </x:c>
    </x:row>
    <x:row r="11">
      <x:c r="A11" s="18" t="str">
        <x:v>Giai đoạn</x:v>
      </x:c>
      <x:c r="B11" s="19" t="str">
        <x:v>Ngày</x:v>
      </x:c>
      <x:c r="C11" s="20" t="str">
        <x:v>Ngân sách</x:v>
      </x:c>
    </x:row>
    <x:row r="12">
      <x:c r="A12" t="str">
        <x:v>Baseline</x:v>
      </x:c>
      <x:c r="B12" t="str">
        <x:v>1–14</x:v>
      </x:c>
      <x:c r="C12" s="6" t="n">
        <x:v>2800000</x:v>
      </x:c>
    </x:row>
    <x:row r="13">
      <x:c r="A13" t="str">
        <x:v>Tối ưu</x:v>
      </x:c>
      <x:c r="B13" t="str">
        <x:v>15–24</x:v>
      </x:c>
      <x:c r="C13" s="6" t="n">
        <x:v>2000000</x:v>
      </x:c>
    </x:row>
    <x:row r="14">
      <x:c r="A14" t="str">
        <x:v>Chốt tháng</x:v>
      </x:c>
      <x:c r="B14" t="str">
        <x:v>25–30</x:v>
      </x:c>
      <x:c r="C14" s="6" t="n">
        <x:v>1200000</x:v>
      </x:c>
    </x:row>
    <x:row r="16">
      <x:c r="A16" s="18" t="str">
        <x:v>Cổng quyết định</x:v>
      </x:c>
      <x:c r="B16" s="19" t="str">
        <x:v>Điều kiện</x:v>
      </x:c>
      <x:c r="C16" s="20" t="str">
        <x:v>Hành động</x:v>
      </x:c>
    </x:row>
    <x:row r="17">
      <x:c r="A17" s="21" t="str">
        <x:v>Không chỉnh sớm</x:v>
      </x:c>
      <x:c r="B17" s="21" t="str">
        <x:v>&lt;72 giờ, không có lỗi</x:v>
      </x:c>
      <x:c r="C17" s="21" t="str">
        <x:v>Giữ nguyên</x:v>
      </x:c>
    </x:row>
    <x:row r="18">
      <x:c r="A18" s="21" t="str">
        <x:v>Ad không ra lead</x:v>
      </x:c>
      <x:c r="B18" s="21" t="str">
        <x:v>Spend ≥2× CPL baseline và 0 lead</x:v>
      </x:c>
      <x:c r="C18" s="21" t="str">
        <x:v>Pause</x:v>
      </x:c>
    </x:row>
    <x:row r="19">
      <x:c r="A19" s="21" t="str">
        <x:v>Lead rác</x:v>
      </x:c>
      <x:c r="B19" s="21" t="str">
        <x:v>≥5 lead và 0 QL</x:v>
      </x:c>
      <x:c r="C19" s="21" t="str">
        <x:v>Pause/sửa offer</x:v>
      </x:c>
    </x:row>
    <x:row r="20">
      <x:c r="A20" s="21" t="str">
        <x:v>Scale</x:v>
      </x:c>
      <x:c r="B20" s="21" t="str">
        <x:v>≥5 QL/7 ngày, QL rate ≥30%</x:v>
      </x:c>
      <x:c r="C20" s="21" t="str">
        <x:v>+20%/48 giờ</x:v>
      </x:c>
    </x:row>
    <x:row r="21">
      <x:c r="A21" s="21" t="str">
        <x:v>Fatigue</x:v>
      </x:c>
      <x:c r="B21" s="21" t="str">
        <x:v>Freq &gt;2,5 và CTR giảm ≥25%</x:v>
      </x:c>
      <x:c r="C21" s="21" t="str">
        <x:v>Đổi creative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8f7c22e7b244c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4" customHeight="1">
      <x:c r="A1" s="3" t="str">
        <x:v>NHẬP SỐ LIỆU ADS MANAGER HẰNG NGÀY</x:v>
      </x:c>
      <x:c r="B1" s="3" t="str">
        <x:v>NHẬP SỐ LIỆU ADS MANAGER HẰNG NGÀY</x:v>
      </x:c>
      <x:c r="C1" s="3" t="str">
        <x:v>NHẬP SỐ LIỆU ADS MANAGER HẰNG NGÀY</x:v>
      </x:c>
      <x:c r="D1" s="3" t="str">
        <x:v>NHẬP SỐ LIỆU ADS MANAGER HẰNG NGÀY</x:v>
      </x:c>
      <x:c r="E1" s="3" t="str">
        <x:v>NHẬP SỐ LIỆU ADS MANAGER HẰNG NGÀY</x:v>
      </x:c>
      <x:c r="F1" s="3" t="str">
        <x:v>NHẬP SỐ LIỆU ADS MANAGER HẰNG NGÀY</x:v>
      </x:c>
      <x:c r="G1" s="3" t="str">
        <x:v>NHẬP SỐ LIỆU ADS MANAGER HẰNG NGÀY</x:v>
      </x:c>
      <x:c r="H1" s="3" t="str">
        <x:v>NHẬP SỐ LIỆU ADS MANAGER HẰNG NGÀY</x:v>
      </x:c>
      <x:c r="I1" s="3" t="str">
        <x:v>NHẬP SỐ LIỆU ADS MANAGER HẰNG NGÀY</x:v>
      </x:c>
      <x:c r="J1" s="3" t="str">
        <x:v>NHẬP SỐ LIỆU ADS MANAGER HẰNG NGÀY</x:v>
      </x:c>
      <x:c r="K1" s="3" t="str">
        <x:v>NHẬP SỐ LIỆU ADS MANAGER HẰNG NGÀY</x:v>
      </x:c>
      <x:c r="L1" s="3" t="str">
        <x:v>NHẬP SỐ LIỆU ADS MANAGER HẰNG NGÀY</x:v>
      </x:c>
      <x:c r="M1" s="3" t="str">
        <x:v>NHẬP SỐ LIỆU ADS MANAGER HẰNG NGÀY</x:v>
      </x:c>
      <x:c r="N1" s="3" t="str">
        <x:v>NHẬP SỐ LIỆU ADS MANAGER HẰNG NGÀY</x:v>
      </x:c>
      <x:c r="O1" s="3" t="str">
        <x:v>NHẬP SỐ LIỆU ADS MANAGER HẰNG NGÀY</x:v>
      </x:c>
      <x:c r="P1" s="3" t="str">
        <x:v>NHẬP SỐ LIỆU ADS MANAGER HẰNG NGÀY</x:v>
      </x:c>
      <x:c r="Q1" s="3" t="str">
        <x:v>NHẬP SỐ LIỆU ADS MANAGER HẰNG NGÀY</x:v>
      </x:c>
    </x:row>
    <x:row r="2">
      <x:c r="A2" s="18" t="str">
        <x:v>Ngày</x:v>
      </x:c>
      <x:c r="B2" s="19" t="str">
        <x:v>Campaign</x:v>
      </x:c>
      <x:c r="C2" s="19" t="str">
        <x:v>Ad set / Geo</x:v>
      </x:c>
      <x:c r="D2" s="19" t="str">
        <x:v>Spend (đ)</x:v>
      </x:c>
      <x:c r="E2" s="19" t="str">
        <x:v>Impressions</x:v>
      </x:c>
      <x:c r="F2" s="19" t="str">
        <x:v>Reach</x:v>
      </x:c>
      <x:c r="G2" s="19" t="str">
        <x:v>Clicks</x:v>
      </x:c>
      <x:c r="H2" s="19" t="str">
        <x:v>CTR</x:v>
      </x:c>
      <x:c r="I2" s="19" t="str">
        <x:v>CPC</x:v>
      </x:c>
      <x:c r="J2" s="19" t="str">
        <x:v>CPM</x:v>
      </x:c>
      <x:c r="K2" s="19" t="str">
        <x:v>Leads</x:v>
      </x:c>
      <x:c r="L2" s="19" t="str">
        <x:v>Qualified</x:v>
      </x:c>
      <x:c r="M2" s="19" t="str">
        <x:v>QL rate</x:v>
      </x:c>
      <x:c r="N2" s="19" t="str">
        <x:v>CPL</x:v>
      </x:c>
      <x:c r="O2" s="19" t="str">
        <x:v>CPQL</x:v>
      </x:c>
      <x:c r="P2" s="19" t="str">
        <x:v>Quotes</x:v>
      </x:c>
      <x:c r="Q2" s="20" t="str">
        <x:v>Won</x:v>
      </x:c>
    </x:row>
    <x:row r="3">
      <x:c r="A3" s="30" t="n">
        <x:v>46220</x:v>
      </x:c>
      <x:c r="B3" s="31" t="str"/>
      <x:c r="C3" s="31" t="str"/>
      <x:c r="D3" s="32" t="n">
        <x:v>0</x:v>
      </x:c>
      <x:c r="E3" s="31" t="n">
        <x:v>0</x:v>
      </x:c>
      <x:c r="F3" s="31" t="n">
        <x:v>0</x:v>
      </x:c>
      <x:c r="G3" s="31" t="n">
        <x:v>0</x:v>
      </x:c>
      <x:c r="H3" s="28" t="n">
        <x:f>IFERROR(G3/E3,0)</x:f>
        <x:v>0</x:v>
      </x:c>
      <x:c r="I3" s="27" t="n">
        <x:f>IFERROR(D3/G3,0)</x:f>
        <x:v>0</x:v>
      </x:c>
      <x:c r="J3" s="27" t="n">
        <x:f>IFERROR(D3/E3*1000,0)</x:f>
        <x:v>0</x:v>
      </x:c>
      <x:c r="K3" s="31" t="n">
        <x:v>0</x:v>
      </x:c>
      <x:c r="L3" s="31" t="n">
        <x:v>0</x:v>
      </x:c>
      <x:c r="M3" s="29" t="n">
        <x:f>IFERROR(L3/K3,0)</x:f>
        <x:v>0</x:v>
      </x:c>
      <x:c r="N3" s="27" t="n">
        <x:f>IFERROR(D3/K3,0)</x:f>
        <x:v>0</x:v>
      </x:c>
      <x:c r="O3" s="27" t="n">
        <x:f>IFERROR(D3/L3,0)</x:f>
        <x:v>0</x:v>
      </x:c>
      <x:c r="P3" s="31" t="n">
        <x:v>0</x:v>
      </x:c>
      <x:c r="Q3" s="31" t="n">
        <x:v>0</x:v>
      </x:c>
    </x:row>
    <x:row r="4">
      <x:c r="A4" s="30" t="n">
        <x:v>46221</x:v>
      </x:c>
      <x:c r="B4" s="31" t="str"/>
      <x:c r="C4" s="31" t="str"/>
      <x:c r="D4" s="32" t="n">
        <x:v>0</x:v>
      </x:c>
      <x:c r="E4" s="31" t="n">
        <x:v>0</x:v>
      </x:c>
      <x:c r="F4" s="31" t="n">
        <x:v>0</x:v>
      </x:c>
      <x:c r="G4" s="31" t="n">
        <x:v>0</x:v>
      </x:c>
      <x:c r="H4" s="28" t="n">
        <x:f>IFERROR(G4/E4,0)</x:f>
        <x:v>0</x:v>
      </x:c>
      <x:c r="I4" s="27" t="n">
        <x:f>IFERROR(D4/G4,0)</x:f>
        <x:v>0</x:v>
      </x:c>
      <x:c r="J4" s="27" t="n">
        <x:f>IFERROR(D4/E4*1000,0)</x:f>
        <x:v>0</x:v>
      </x:c>
      <x:c r="K4" s="31" t="n">
        <x:v>0</x:v>
      </x:c>
      <x:c r="L4" s="31" t="n">
        <x:v>0</x:v>
      </x:c>
      <x:c r="M4" s="29" t="n">
        <x:f>IFERROR(L4/K4,0)</x:f>
        <x:v>0</x:v>
      </x:c>
      <x:c r="N4" s="27" t="n">
        <x:f>IFERROR(D4/K4,0)</x:f>
        <x:v>0</x:v>
      </x:c>
      <x:c r="O4" s="27" t="n">
        <x:f>IFERROR(D4/L4,0)</x:f>
        <x:v>0</x:v>
      </x:c>
      <x:c r="P4" s="31" t="n">
        <x:v>0</x:v>
      </x:c>
      <x:c r="Q4" s="31" t="n">
        <x:v>0</x:v>
      </x:c>
    </x:row>
    <x:row r="5">
      <x:c r="A5" s="30" t="n">
        <x:v>46222</x:v>
      </x:c>
      <x:c r="B5" s="31" t="str"/>
      <x:c r="C5" s="31" t="str"/>
      <x:c r="D5" s="32" t="n">
        <x:v>0</x:v>
      </x:c>
      <x:c r="E5" s="31" t="n">
        <x:v>0</x:v>
      </x:c>
      <x:c r="F5" s="31" t="n">
        <x:v>0</x:v>
      </x:c>
      <x:c r="G5" s="31" t="n">
        <x:v>0</x:v>
      </x:c>
      <x:c r="H5" s="28" t="n">
        <x:f>IFERROR(G5/E5,0)</x:f>
        <x:v>0</x:v>
      </x:c>
      <x:c r="I5" s="27" t="n">
        <x:f>IFERROR(D5/G5,0)</x:f>
        <x:v>0</x:v>
      </x:c>
      <x:c r="J5" s="27" t="n">
        <x:f>IFERROR(D5/E5*1000,0)</x:f>
        <x:v>0</x:v>
      </x:c>
      <x:c r="K5" s="31" t="n">
        <x:v>0</x:v>
      </x:c>
      <x:c r="L5" s="31" t="n">
        <x:v>0</x:v>
      </x:c>
      <x:c r="M5" s="29" t="n">
        <x:f>IFERROR(L5/K5,0)</x:f>
        <x:v>0</x:v>
      </x:c>
      <x:c r="N5" s="27" t="n">
        <x:f>IFERROR(D5/K5,0)</x:f>
        <x:v>0</x:v>
      </x:c>
      <x:c r="O5" s="27" t="n">
        <x:f>IFERROR(D5/L5,0)</x:f>
        <x:v>0</x:v>
      </x:c>
      <x:c r="P5" s="31" t="n">
        <x:v>0</x:v>
      </x:c>
      <x:c r="Q5" s="31" t="n">
        <x:v>0</x:v>
      </x:c>
    </x:row>
    <x:row r="6">
      <x:c r="A6" s="30" t="n">
        <x:v>46223</x:v>
      </x:c>
      <x:c r="B6" s="31" t="str"/>
      <x:c r="C6" s="31" t="str"/>
      <x:c r="D6" s="32" t="n">
        <x:v>0</x:v>
      </x:c>
      <x:c r="E6" s="31" t="n">
        <x:v>0</x:v>
      </x:c>
      <x:c r="F6" s="31" t="n">
        <x:v>0</x:v>
      </x:c>
      <x:c r="G6" s="31" t="n">
        <x:v>0</x:v>
      </x:c>
      <x:c r="H6" s="28" t="n">
        <x:f>IFERROR(G6/E6,0)</x:f>
        <x:v>0</x:v>
      </x:c>
      <x:c r="I6" s="27" t="n">
        <x:f>IFERROR(D6/G6,0)</x:f>
        <x:v>0</x:v>
      </x:c>
      <x:c r="J6" s="27" t="n">
        <x:f>IFERROR(D6/E6*1000,0)</x:f>
        <x:v>0</x:v>
      </x:c>
      <x:c r="K6" s="31" t="n">
        <x:v>0</x:v>
      </x:c>
      <x:c r="L6" s="31" t="n">
        <x:v>0</x:v>
      </x:c>
      <x:c r="M6" s="29" t="n">
        <x:f>IFERROR(L6/K6,0)</x:f>
        <x:v>0</x:v>
      </x:c>
      <x:c r="N6" s="27" t="n">
        <x:f>IFERROR(D6/K6,0)</x:f>
        <x:v>0</x:v>
      </x:c>
      <x:c r="O6" s="27" t="n">
        <x:f>IFERROR(D6/L6,0)</x:f>
        <x:v>0</x:v>
      </x:c>
      <x:c r="P6" s="31" t="n">
        <x:v>0</x:v>
      </x:c>
      <x:c r="Q6" s="31" t="n">
        <x:v>0</x:v>
      </x:c>
    </x:row>
    <x:row r="7">
      <x:c r="A7" s="30" t="n">
        <x:v>46224</x:v>
      </x:c>
      <x:c r="B7" s="31" t="str"/>
      <x:c r="C7" s="31" t="str"/>
      <x:c r="D7" s="32" t="n">
        <x:v>0</x:v>
      </x:c>
      <x:c r="E7" s="31" t="n">
        <x:v>0</x:v>
      </x:c>
      <x:c r="F7" s="31" t="n">
        <x:v>0</x:v>
      </x:c>
      <x:c r="G7" s="31" t="n">
        <x:v>0</x:v>
      </x:c>
      <x:c r="H7" s="28" t="n">
        <x:f>IFERROR(G7/E7,0)</x:f>
        <x:v>0</x:v>
      </x:c>
      <x:c r="I7" s="27" t="n">
        <x:f>IFERROR(D7/G7,0)</x:f>
        <x:v>0</x:v>
      </x:c>
      <x:c r="J7" s="27" t="n">
        <x:f>IFERROR(D7/E7*1000,0)</x:f>
        <x:v>0</x:v>
      </x:c>
      <x:c r="K7" s="31" t="n">
        <x:v>0</x:v>
      </x:c>
      <x:c r="L7" s="31" t="n">
        <x:v>0</x:v>
      </x:c>
      <x:c r="M7" s="29" t="n">
        <x:f>IFERROR(L7/K7,0)</x:f>
        <x:v>0</x:v>
      </x:c>
      <x:c r="N7" s="27" t="n">
        <x:f>IFERROR(D7/K7,0)</x:f>
        <x:v>0</x:v>
      </x:c>
      <x:c r="O7" s="27" t="n">
        <x:f>IFERROR(D7/L7,0)</x:f>
        <x:v>0</x:v>
      </x:c>
      <x:c r="P7" s="31" t="n">
        <x:v>0</x:v>
      </x:c>
      <x:c r="Q7" s="31" t="n">
        <x:v>0</x:v>
      </x:c>
    </x:row>
    <x:row r="8">
      <x:c r="A8" s="30" t="n">
        <x:v>46225</x:v>
      </x:c>
      <x:c r="B8" s="31" t="str"/>
      <x:c r="C8" s="31" t="str"/>
      <x:c r="D8" s="32" t="n">
        <x:v>0</x:v>
      </x:c>
      <x:c r="E8" s="31" t="n">
        <x:v>0</x:v>
      </x:c>
      <x:c r="F8" s="31" t="n">
        <x:v>0</x:v>
      </x:c>
      <x:c r="G8" s="31" t="n">
        <x:v>0</x:v>
      </x:c>
      <x:c r="H8" s="28" t="n">
        <x:f>IFERROR(G8/E8,0)</x:f>
        <x:v>0</x:v>
      </x:c>
      <x:c r="I8" s="27" t="n">
        <x:f>IFERROR(D8/G8,0)</x:f>
        <x:v>0</x:v>
      </x:c>
      <x:c r="J8" s="27" t="n">
        <x:f>IFERROR(D8/E8*1000,0)</x:f>
        <x:v>0</x:v>
      </x:c>
      <x:c r="K8" s="31" t="n">
        <x:v>0</x:v>
      </x:c>
      <x:c r="L8" s="31" t="n">
        <x:v>0</x:v>
      </x:c>
      <x:c r="M8" s="29" t="n">
        <x:f>IFERROR(L8/K8,0)</x:f>
        <x:v>0</x:v>
      </x:c>
      <x:c r="N8" s="27" t="n">
        <x:f>IFERROR(D8/K8,0)</x:f>
        <x:v>0</x:v>
      </x:c>
      <x:c r="O8" s="27" t="n">
        <x:f>IFERROR(D8/L8,0)</x:f>
        <x:v>0</x:v>
      </x:c>
      <x:c r="P8" s="31" t="n">
        <x:v>0</x:v>
      </x:c>
      <x:c r="Q8" s="31" t="n">
        <x:v>0</x:v>
      </x:c>
    </x:row>
    <x:row r="9">
      <x:c r="A9" s="30" t="n">
        <x:v>46226</x:v>
      </x:c>
      <x:c r="B9" s="31" t="str"/>
      <x:c r="C9" s="31" t="str"/>
      <x:c r="D9" s="32" t="n">
        <x:v>0</x:v>
      </x:c>
      <x:c r="E9" s="31" t="n">
        <x:v>0</x:v>
      </x:c>
      <x:c r="F9" s="31" t="n">
        <x:v>0</x:v>
      </x:c>
      <x:c r="G9" s="31" t="n">
        <x:v>0</x:v>
      </x:c>
      <x:c r="H9" s="28" t="n">
        <x:f>IFERROR(G9/E9,0)</x:f>
        <x:v>0</x:v>
      </x:c>
      <x:c r="I9" s="27" t="n">
        <x:f>IFERROR(D9/G9,0)</x:f>
        <x:v>0</x:v>
      </x:c>
      <x:c r="J9" s="27" t="n">
        <x:f>IFERROR(D9/E9*1000,0)</x:f>
        <x:v>0</x:v>
      </x:c>
      <x:c r="K9" s="31" t="n">
        <x:v>0</x:v>
      </x:c>
      <x:c r="L9" s="31" t="n">
        <x:v>0</x:v>
      </x:c>
      <x:c r="M9" s="29" t="n">
        <x:f>IFERROR(L9/K9,0)</x:f>
        <x:v>0</x:v>
      </x:c>
      <x:c r="N9" s="27" t="n">
        <x:f>IFERROR(D9/K9,0)</x:f>
        <x:v>0</x:v>
      </x:c>
      <x:c r="O9" s="27" t="n">
        <x:f>IFERROR(D9/L9,0)</x:f>
        <x:v>0</x:v>
      </x:c>
      <x:c r="P9" s="31" t="n">
        <x:v>0</x:v>
      </x:c>
      <x:c r="Q9" s="31" t="n">
        <x:v>0</x:v>
      </x:c>
    </x:row>
    <x:row r="10">
      <x:c r="A10" s="30" t="n">
        <x:v>46227</x:v>
      </x:c>
      <x:c r="B10" s="31" t="str"/>
      <x:c r="C10" s="31" t="str"/>
      <x:c r="D10" s="32" t="n">
        <x:v>0</x:v>
      </x:c>
      <x:c r="E10" s="31" t="n">
        <x:v>0</x:v>
      </x:c>
      <x:c r="F10" s="31" t="n">
        <x:v>0</x:v>
      </x:c>
      <x:c r="G10" s="31" t="n">
        <x:v>0</x:v>
      </x:c>
      <x:c r="H10" s="28" t="n">
        <x:f>IFERROR(G10/E10,0)</x:f>
        <x:v>0</x:v>
      </x:c>
      <x:c r="I10" s="27" t="n">
        <x:f>IFERROR(D10/G10,0)</x:f>
        <x:v>0</x:v>
      </x:c>
      <x:c r="J10" s="27" t="n">
        <x:f>IFERROR(D10/E10*1000,0)</x:f>
        <x:v>0</x:v>
      </x:c>
      <x:c r="K10" s="31" t="n">
        <x:v>0</x:v>
      </x:c>
      <x:c r="L10" s="31" t="n">
        <x:v>0</x:v>
      </x:c>
      <x:c r="M10" s="29" t="n">
        <x:f>IFERROR(L10/K10,0)</x:f>
        <x:v>0</x:v>
      </x:c>
      <x:c r="N10" s="27" t="n">
        <x:f>IFERROR(D10/K10,0)</x:f>
        <x:v>0</x:v>
      </x:c>
      <x:c r="O10" s="27" t="n">
        <x:f>IFERROR(D10/L10,0)</x:f>
        <x:v>0</x:v>
      </x:c>
      <x:c r="P10" s="31" t="n">
        <x:v>0</x:v>
      </x:c>
      <x:c r="Q10" s="31" t="n">
        <x:v>0</x:v>
      </x:c>
    </x:row>
    <x:row r="11">
      <x:c r="A11" s="30" t="n">
        <x:v>46228</x:v>
      </x:c>
      <x:c r="B11" s="31" t="str"/>
      <x:c r="C11" s="31" t="str"/>
      <x:c r="D11" s="32" t="n">
        <x:v>0</x:v>
      </x:c>
      <x:c r="E11" s="31" t="n">
        <x:v>0</x:v>
      </x:c>
      <x:c r="F11" s="31" t="n">
        <x:v>0</x:v>
      </x:c>
      <x:c r="G11" s="31" t="n">
        <x:v>0</x:v>
      </x:c>
      <x:c r="H11" s="28" t="n">
        <x:f>IFERROR(G11/E11,0)</x:f>
        <x:v>0</x:v>
      </x:c>
      <x:c r="I11" s="27" t="n">
        <x:f>IFERROR(D11/G11,0)</x:f>
        <x:v>0</x:v>
      </x:c>
      <x:c r="J11" s="27" t="n">
        <x:f>IFERROR(D11/E11*1000,0)</x:f>
        <x:v>0</x:v>
      </x:c>
      <x:c r="K11" s="31" t="n">
        <x:v>0</x:v>
      </x:c>
      <x:c r="L11" s="31" t="n">
        <x:v>0</x:v>
      </x:c>
      <x:c r="M11" s="29" t="n">
        <x:f>IFERROR(L11/K11,0)</x:f>
        <x:v>0</x:v>
      </x:c>
      <x:c r="N11" s="27" t="n">
        <x:f>IFERROR(D11/K11,0)</x:f>
        <x:v>0</x:v>
      </x:c>
      <x:c r="O11" s="27" t="n">
        <x:f>IFERROR(D11/L11,0)</x:f>
        <x:v>0</x:v>
      </x:c>
      <x:c r="P11" s="31" t="n">
        <x:v>0</x:v>
      </x:c>
      <x:c r="Q11" s="31" t="n">
        <x:v>0</x:v>
      </x:c>
    </x:row>
    <x:row r="12">
      <x:c r="A12" s="30" t="n">
        <x:v>46229</x:v>
      </x:c>
      <x:c r="B12" s="31" t="str"/>
      <x:c r="C12" s="31" t="str"/>
      <x:c r="D12" s="32" t="n">
        <x:v>0</x:v>
      </x:c>
      <x:c r="E12" s="31" t="n">
        <x:v>0</x:v>
      </x:c>
      <x:c r="F12" s="31" t="n">
        <x:v>0</x:v>
      </x:c>
      <x:c r="G12" s="31" t="n">
        <x:v>0</x:v>
      </x:c>
      <x:c r="H12" s="28" t="n">
        <x:f>IFERROR(G12/E12,0)</x:f>
        <x:v>0</x:v>
      </x:c>
      <x:c r="I12" s="27" t="n">
        <x:f>IFERROR(D12/G12,0)</x:f>
        <x:v>0</x:v>
      </x:c>
      <x:c r="J12" s="27" t="n">
        <x:f>IFERROR(D12/E12*1000,0)</x:f>
        <x:v>0</x:v>
      </x:c>
      <x:c r="K12" s="31" t="n">
        <x:v>0</x:v>
      </x:c>
      <x:c r="L12" s="31" t="n">
        <x:v>0</x:v>
      </x:c>
      <x:c r="M12" s="29" t="n">
        <x:f>IFERROR(L12/K12,0)</x:f>
        <x:v>0</x:v>
      </x:c>
      <x:c r="N12" s="27" t="n">
        <x:f>IFERROR(D12/K12,0)</x:f>
        <x:v>0</x:v>
      </x:c>
      <x:c r="O12" s="27" t="n">
        <x:f>IFERROR(D12/L12,0)</x:f>
        <x:v>0</x:v>
      </x:c>
      <x:c r="P12" s="31" t="n">
        <x:v>0</x:v>
      </x:c>
      <x:c r="Q12" s="31" t="n">
        <x:v>0</x:v>
      </x:c>
    </x:row>
    <x:row r="13">
      <x:c r="A13" s="30" t="n">
        <x:v>46230</x:v>
      </x:c>
      <x:c r="B13" s="31" t="str"/>
      <x:c r="C13" s="31" t="str"/>
      <x:c r="D13" s="32" t="n">
        <x:v>0</x:v>
      </x:c>
      <x:c r="E13" s="31" t="n">
        <x:v>0</x:v>
      </x:c>
      <x:c r="F13" s="31" t="n">
        <x:v>0</x:v>
      </x:c>
      <x:c r="G13" s="31" t="n">
        <x:v>0</x:v>
      </x:c>
      <x:c r="H13" s="28" t="n">
        <x:f>IFERROR(G13/E13,0)</x:f>
        <x:v>0</x:v>
      </x:c>
      <x:c r="I13" s="27" t="n">
        <x:f>IFERROR(D13/G13,0)</x:f>
        <x:v>0</x:v>
      </x:c>
      <x:c r="J13" s="27" t="n">
        <x:f>IFERROR(D13/E13*1000,0)</x:f>
        <x:v>0</x:v>
      </x:c>
      <x:c r="K13" s="31" t="n">
        <x:v>0</x:v>
      </x:c>
      <x:c r="L13" s="31" t="n">
        <x:v>0</x:v>
      </x:c>
      <x:c r="M13" s="29" t="n">
        <x:f>IFERROR(L13/K13,0)</x:f>
        <x:v>0</x:v>
      </x:c>
      <x:c r="N13" s="27" t="n">
        <x:f>IFERROR(D13/K13,0)</x:f>
        <x:v>0</x:v>
      </x:c>
      <x:c r="O13" s="27" t="n">
        <x:f>IFERROR(D13/L13,0)</x:f>
        <x:v>0</x:v>
      </x:c>
      <x:c r="P13" s="31" t="n">
        <x:v>0</x:v>
      </x:c>
      <x:c r="Q13" s="31" t="n">
        <x:v>0</x:v>
      </x:c>
    </x:row>
    <x:row r="14">
      <x:c r="A14" s="30" t="n">
        <x:v>46231</x:v>
      </x:c>
      <x:c r="B14" s="31" t="str"/>
      <x:c r="C14" s="31" t="str"/>
      <x:c r="D14" s="32" t="n">
        <x:v>0</x:v>
      </x:c>
      <x:c r="E14" s="31" t="n">
        <x:v>0</x:v>
      </x:c>
      <x:c r="F14" s="31" t="n">
        <x:v>0</x:v>
      </x:c>
      <x:c r="G14" s="31" t="n">
        <x:v>0</x:v>
      </x:c>
      <x:c r="H14" s="28" t="n">
        <x:f>IFERROR(G14/E14,0)</x:f>
        <x:v>0</x:v>
      </x:c>
      <x:c r="I14" s="27" t="n">
        <x:f>IFERROR(D14/G14,0)</x:f>
        <x:v>0</x:v>
      </x:c>
      <x:c r="J14" s="27" t="n">
        <x:f>IFERROR(D14/E14*1000,0)</x:f>
        <x:v>0</x:v>
      </x:c>
      <x:c r="K14" s="31" t="n">
        <x:v>0</x:v>
      </x:c>
      <x:c r="L14" s="31" t="n">
        <x:v>0</x:v>
      </x:c>
      <x:c r="M14" s="29" t="n">
        <x:f>IFERROR(L14/K14,0)</x:f>
        <x:v>0</x:v>
      </x:c>
      <x:c r="N14" s="27" t="n">
        <x:f>IFERROR(D14/K14,0)</x:f>
        <x:v>0</x:v>
      </x:c>
      <x:c r="O14" s="27" t="n">
        <x:f>IFERROR(D14/L14,0)</x:f>
        <x:v>0</x:v>
      </x:c>
      <x:c r="P14" s="31" t="n">
        <x:v>0</x:v>
      </x:c>
      <x:c r="Q14" s="31" t="n">
        <x:v>0</x:v>
      </x:c>
    </x:row>
    <x:row r="15">
      <x:c r="A15" s="30" t="n">
        <x:v>46232</x:v>
      </x:c>
      <x:c r="B15" s="31" t="str"/>
      <x:c r="C15" s="31" t="str"/>
      <x:c r="D15" s="32" t="n">
        <x:v>0</x:v>
      </x:c>
      <x:c r="E15" s="31" t="n">
        <x:v>0</x:v>
      </x:c>
      <x:c r="F15" s="31" t="n">
        <x:v>0</x:v>
      </x:c>
      <x:c r="G15" s="31" t="n">
        <x:v>0</x:v>
      </x:c>
      <x:c r="H15" s="28" t="n">
        <x:f>IFERROR(G15/E15,0)</x:f>
        <x:v>0</x:v>
      </x:c>
      <x:c r="I15" s="27" t="n">
        <x:f>IFERROR(D15/G15,0)</x:f>
        <x:v>0</x:v>
      </x:c>
      <x:c r="J15" s="27" t="n">
        <x:f>IFERROR(D15/E15*1000,0)</x:f>
        <x:v>0</x:v>
      </x:c>
      <x:c r="K15" s="31" t="n">
        <x:v>0</x:v>
      </x:c>
      <x:c r="L15" s="31" t="n">
        <x:v>0</x:v>
      </x:c>
      <x:c r="M15" s="29" t="n">
        <x:f>IFERROR(L15/K15,0)</x:f>
        <x:v>0</x:v>
      </x:c>
      <x:c r="N15" s="27" t="n">
        <x:f>IFERROR(D15/K15,0)</x:f>
        <x:v>0</x:v>
      </x:c>
      <x:c r="O15" s="27" t="n">
        <x:f>IFERROR(D15/L15,0)</x:f>
        <x:v>0</x:v>
      </x:c>
      <x:c r="P15" s="31" t="n">
        <x:v>0</x:v>
      </x:c>
      <x:c r="Q15" s="31" t="n">
        <x:v>0</x:v>
      </x:c>
    </x:row>
    <x:row r="16">
      <x:c r="A16" s="30" t="n">
        <x:v>46233</x:v>
      </x:c>
      <x:c r="B16" s="31" t="str"/>
      <x:c r="C16" s="31" t="str"/>
      <x:c r="D16" s="32" t="n">
        <x:v>0</x:v>
      </x:c>
      <x:c r="E16" s="31" t="n">
        <x:v>0</x:v>
      </x:c>
      <x:c r="F16" s="31" t="n">
        <x:v>0</x:v>
      </x:c>
      <x:c r="G16" s="31" t="n">
        <x:v>0</x:v>
      </x:c>
      <x:c r="H16" s="28" t="n">
        <x:f>IFERROR(G16/E16,0)</x:f>
        <x:v>0</x:v>
      </x:c>
      <x:c r="I16" s="27" t="n">
        <x:f>IFERROR(D16/G16,0)</x:f>
        <x:v>0</x:v>
      </x:c>
      <x:c r="J16" s="27" t="n">
        <x:f>IFERROR(D16/E16*1000,0)</x:f>
        <x:v>0</x:v>
      </x:c>
      <x:c r="K16" s="31" t="n">
        <x:v>0</x:v>
      </x:c>
      <x:c r="L16" s="31" t="n">
        <x:v>0</x:v>
      </x:c>
      <x:c r="M16" s="29" t="n">
        <x:f>IFERROR(L16/K16,0)</x:f>
        <x:v>0</x:v>
      </x:c>
      <x:c r="N16" s="27" t="n">
        <x:f>IFERROR(D16/K16,0)</x:f>
        <x:v>0</x:v>
      </x:c>
      <x:c r="O16" s="27" t="n">
        <x:f>IFERROR(D16/L16,0)</x:f>
        <x:v>0</x:v>
      </x:c>
      <x:c r="P16" s="31" t="n">
        <x:v>0</x:v>
      </x:c>
      <x:c r="Q16" s="31" t="n">
        <x:v>0</x:v>
      </x:c>
    </x:row>
    <x:row r="17">
      <x:c r="A17" s="30" t="n">
        <x:v>46234</x:v>
      </x:c>
      <x:c r="B17" s="31" t="str"/>
      <x:c r="C17" s="31" t="str"/>
      <x:c r="D17" s="32" t="n">
        <x:v>0</x:v>
      </x:c>
      <x:c r="E17" s="31" t="n">
        <x:v>0</x:v>
      </x:c>
      <x:c r="F17" s="31" t="n">
        <x:v>0</x:v>
      </x:c>
      <x:c r="G17" s="31" t="n">
        <x:v>0</x:v>
      </x:c>
      <x:c r="H17" s="28" t="n">
        <x:f>IFERROR(G17/E17,0)</x:f>
        <x:v>0</x:v>
      </x:c>
      <x:c r="I17" s="27" t="n">
        <x:f>IFERROR(D17/G17,0)</x:f>
        <x:v>0</x:v>
      </x:c>
      <x:c r="J17" s="27" t="n">
        <x:f>IFERROR(D17/E17*1000,0)</x:f>
        <x:v>0</x:v>
      </x:c>
      <x:c r="K17" s="31" t="n">
        <x:v>0</x:v>
      </x:c>
      <x:c r="L17" s="31" t="n">
        <x:v>0</x:v>
      </x:c>
      <x:c r="M17" s="29" t="n">
        <x:f>IFERROR(L17/K17,0)</x:f>
        <x:v>0</x:v>
      </x:c>
      <x:c r="N17" s="27" t="n">
        <x:f>IFERROR(D17/K17,0)</x:f>
        <x:v>0</x:v>
      </x:c>
      <x:c r="O17" s="27" t="n">
        <x:f>IFERROR(D17/L17,0)</x:f>
        <x:v>0</x:v>
      </x:c>
      <x:c r="P17" s="31" t="n">
        <x:v>0</x:v>
      </x:c>
      <x:c r="Q17" s="31" t="n">
        <x:v>0</x:v>
      </x:c>
    </x:row>
    <x:row r="18">
      <x:c r="A18" s="30" t="n">
        <x:v>46235</x:v>
      </x:c>
      <x:c r="B18" s="31" t="str"/>
      <x:c r="C18" s="31" t="str"/>
      <x:c r="D18" s="32" t="n">
        <x:v>0</x:v>
      </x:c>
      <x:c r="E18" s="31" t="n">
        <x:v>0</x:v>
      </x:c>
      <x:c r="F18" s="31" t="n">
        <x:v>0</x:v>
      </x:c>
      <x:c r="G18" s="31" t="n">
        <x:v>0</x:v>
      </x:c>
      <x:c r="H18" s="28" t="n">
        <x:f>IFERROR(G18/E18,0)</x:f>
        <x:v>0</x:v>
      </x:c>
      <x:c r="I18" s="27" t="n">
        <x:f>IFERROR(D18/G18,0)</x:f>
        <x:v>0</x:v>
      </x:c>
      <x:c r="J18" s="27" t="n">
        <x:f>IFERROR(D18/E18*1000,0)</x:f>
        <x:v>0</x:v>
      </x:c>
      <x:c r="K18" s="31" t="n">
        <x:v>0</x:v>
      </x:c>
      <x:c r="L18" s="31" t="n">
        <x:v>0</x:v>
      </x:c>
      <x:c r="M18" s="29" t="n">
        <x:f>IFERROR(L18/K18,0)</x:f>
        <x:v>0</x:v>
      </x:c>
      <x:c r="N18" s="27" t="n">
        <x:f>IFERROR(D18/K18,0)</x:f>
        <x:v>0</x:v>
      </x:c>
      <x:c r="O18" s="27" t="n">
        <x:f>IFERROR(D18/L18,0)</x:f>
        <x:v>0</x:v>
      </x:c>
      <x:c r="P18" s="31" t="n">
        <x:v>0</x:v>
      </x:c>
      <x:c r="Q18" s="31" t="n">
        <x:v>0</x:v>
      </x:c>
    </x:row>
    <x:row r="19">
      <x:c r="A19" s="30" t="n">
        <x:v>46236</x:v>
      </x:c>
      <x:c r="B19" s="31" t="str"/>
      <x:c r="C19" s="31" t="str"/>
      <x:c r="D19" s="32" t="n">
        <x:v>0</x:v>
      </x:c>
      <x:c r="E19" s="31" t="n">
        <x:v>0</x:v>
      </x:c>
      <x:c r="F19" s="31" t="n">
        <x:v>0</x:v>
      </x:c>
      <x:c r="G19" s="31" t="n">
        <x:v>0</x:v>
      </x:c>
      <x:c r="H19" s="28" t="n">
        <x:f>IFERROR(G19/E19,0)</x:f>
        <x:v>0</x:v>
      </x:c>
      <x:c r="I19" s="27" t="n">
        <x:f>IFERROR(D19/G19,0)</x:f>
        <x:v>0</x:v>
      </x:c>
      <x:c r="J19" s="27" t="n">
        <x:f>IFERROR(D19/E19*1000,0)</x:f>
        <x:v>0</x:v>
      </x:c>
      <x:c r="K19" s="31" t="n">
        <x:v>0</x:v>
      </x:c>
      <x:c r="L19" s="31" t="n">
        <x:v>0</x:v>
      </x:c>
      <x:c r="M19" s="29" t="n">
        <x:f>IFERROR(L19/K19,0)</x:f>
        <x:v>0</x:v>
      </x:c>
      <x:c r="N19" s="27" t="n">
        <x:f>IFERROR(D19/K19,0)</x:f>
        <x:v>0</x:v>
      </x:c>
      <x:c r="O19" s="27" t="n">
        <x:f>IFERROR(D19/L19,0)</x:f>
        <x:v>0</x:v>
      </x:c>
      <x:c r="P19" s="31" t="n">
        <x:v>0</x:v>
      </x:c>
      <x:c r="Q19" s="31" t="n">
        <x:v>0</x:v>
      </x:c>
    </x:row>
    <x:row r="20">
      <x:c r="A20" s="30" t="n">
        <x:v>46237</x:v>
      </x:c>
      <x:c r="B20" s="31" t="str"/>
      <x:c r="C20" s="31" t="str"/>
      <x:c r="D20" s="32" t="n">
        <x:v>0</x:v>
      </x:c>
      <x:c r="E20" s="31" t="n">
        <x:v>0</x:v>
      </x:c>
      <x:c r="F20" s="31" t="n">
        <x:v>0</x:v>
      </x:c>
      <x:c r="G20" s="31" t="n">
        <x:v>0</x:v>
      </x:c>
      <x:c r="H20" s="28" t="n">
        <x:f>IFERROR(G20/E20,0)</x:f>
        <x:v>0</x:v>
      </x:c>
      <x:c r="I20" s="27" t="n">
        <x:f>IFERROR(D20/G20,0)</x:f>
        <x:v>0</x:v>
      </x:c>
      <x:c r="J20" s="27" t="n">
        <x:f>IFERROR(D20/E20*1000,0)</x:f>
        <x:v>0</x:v>
      </x:c>
      <x:c r="K20" s="31" t="n">
        <x:v>0</x:v>
      </x:c>
      <x:c r="L20" s="31" t="n">
        <x:v>0</x:v>
      </x:c>
      <x:c r="M20" s="29" t="n">
        <x:f>IFERROR(L20/K20,0)</x:f>
        <x:v>0</x:v>
      </x:c>
      <x:c r="N20" s="27" t="n">
        <x:f>IFERROR(D20/K20,0)</x:f>
        <x:v>0</x:v>
      </x:c>
      <x:c r="O20" s="27" t="n">
        <x:f>IFERROR(D20/L20,0)</x:f>
        <x:v>0</x:v>
      </x:c>
      <x:c r="P20" s="31" t="n">
        <x:v>0</x:v>
      </x:c>
      <x:c r="Q20" s="31" t="n">
        <x:v>0</x:v>
      </x:c>
    </x:row>
    <x:row r="21">
      <x:c r="A21" s="30" t="n">
        <x:v>46238</x:v>
      </x:c>
      <x:c r="B21" s="31" t="str"/>
      <x:c r="C21" s="31" t="str"/>
      <x:c r="D21" s="32" t="n">
        <x:v>0</x:v>
      </x:c>
      <x:c r="E21" s="31" t="n">
        <x:v>0</x:v>
      </x:c>
      <x:c r="F21" s="31" t="n">
        <x:v>0</x:v>
      </x:c>
      <x:c r="G21" s="31" t="n">
        <x:v>0</x:v>
      </x:c>
      <x:c r="H21" s="28" t="n">
        <x:f>IFERROR(G21/E21,0)</x:f>
        <x:v>0</x:v>
      </x:c>
      <x:c r="I21" s="27" t="n">
        <x:f>IFERROR(D21/G21,0)</x:f>
        <x:v>0</x:v>
      </x:c>
      <x:c r="J21" s="27" t="n">
        <x:f>IFERROR(D21/E21*1000,0)</x:f>
        <x:v>0</x:v>
      </x:c>
      <x:c r="K21" s="31" t="n">
        <x:v>0</x:v>
      </x:c>
      <x:c r="L21" s="31" t="n">
        <x:v>0</x:v>
      </x:c>
      <x:c r="M21" s="29" t="n">
        <x:f>IFERROR(L21/K21,0)</x:f>
        <x:v>0</x:v>
      </x:c>
      <x:c r="N21" s="27" t="n">
        <x:f>IFERROR(D21/K21,0)</x:f>
        <x:v>0</x:v>
      </x:c>
      <x:c r="O21" s="27" t="n">
        <x:f>IFERROR(D21/L21,0)</x:f>
        <x:v>0</x:v>
      </x:c>
      <x:c r="P21" s="31" t="n">
        <x:v>0</x:v>
      </x:c>
      <x:c r="Q21" s="31" t="n">
        <x:v>0</x:v>
      </x:c>
    </x:row>
    <x:row r="22">
      <x:c r="A22" s="30" t="n">
        <x:v>46239</x:v>
      </x:c>
      <x:c r="B22" s="31" t="str"/>
      <x:c r="C22" s="31" t="str"/>
      <x:c r="D22" s="32" t="n">
        <x:v>0</x:v>
      </x:c>
      <x:c r="E22" s="31" t="n">
        <x:v>0</x:v>
      </x:c>
      <x:c r="F22" s="31" t="n">
        <x:v>0</x:v>
      </x:c>
      <x:c r="G22" s="31" t="n">
        <x:v>0</x:v>
      </x:c>
      <x:c r="H22" s="28" t="n">
        <x:f>IFERROR(G22/E22,0)</x:f>
        <x:v>0</x:v>
      </x:c>
      <x:c r="I22" s="27" t="n">
        <x:f>IFERROR(D22/G22,0)</x:f>
        <x:v>0</x:v>
      </x:c>
      <x:c r="J22" s="27" t="n">
        <x:f>IFERROR(D22/E22*1000,0)</x:f>
        <x:v>0</x:v>
      </x:c>
      <x:c r="K22" s="31" t="n">
        <x:v>0</x:v>
      </x:c>
      <x:c r="L22" s="31" t="n">
        <x:v>0</x:v>
      </x:c>
      <x:c r="M22" s="29" t="n">
        <x:f>IFERROR(L22/K22,0)</x:f>
        <x:v>0</x:v>
      </x:c>
      <x:c r="N22" s="27" t="n">
        <x:f>IFERROR(D22/K22,0)</x:f>
        <x:v>0</x:v>
      </x:c>
      <x:c r="O22" s="27" t="n">
        <x:f>IFERROR(D22/L22,0)</x:f>
        <x:v>0</x:v>
      </x:c>
      <x:c r="P22" s="31" t="n">
        <x:v>0</x:v>
      </x:c>
      <x:c r="Q22" s="31" t="n">
        <x:v>0</x:v>
      </x:c>
    </x:row>
    <x:row r="23">
      <x:c r="A23" s="30" t="n">
        <x:v>46240</x:v>
      </x:c>
      <x:c r="B23" s="31" t="str"/>
      <x:c r="C23" s="31" t="str"/>
      <x:c r="D23" s="32" t="n">
        <x:v>0</x:v>
      </x:c>
      <x:c r="E23" s="31" t="n">
        <x:v>0</x:v>
      </x:c>
      <x:c r="F23" s="31" t="n">
        <x:v>0</x:v>
      </x:c>
      <x:c r="G23" s="31" t="n">
        <x:v>0</x:v>
      </x:c>
      <x:c r="H23" s="28" t="n">
        <x:f>IFERROR(G23/E23,0)</x:f>
        <x:v>0</x:v>
      </x:c>
      <x:c r="I23" s="27" t="n">
        <x:f>IFERROR(D23/G23,0)</x:f>
        <x:v>0</x:v>
      </x:c>
      <x:c r="J23" s="27" t="n">
        <x:f>IFERROR(D23/E23*1000,0)</x:f>
        <x:v>0</x:v>
      </x:c>
      <x:c r="K23" s="31" t="n">
        <x:v>0</x:v>
      </x:c>
      <x:c r="L23" s="31" t="n">
        <x:v>0</x:v>
      </x:c>
      <x:c r="M23" s="29" t="n">
        <x:f>IFERROR(L23/K23,0)</x:f>
        <x:v>0</x:v>
      </x:c>
      <x:c r="N23" s="27" t="n">
        <x:f>IFERROR(D23/K23,0)</x:f>
        <x:v>0</x:v>
      </x:c>
      <x:c r="O23" s="27" t="n">
        <x:f>IFERROR(D23/L23,0)</x:f>
        <x:v>0</x:v>
      </x:c>
      <x:c r="P23" s="31" t="n">
        <x:v>0</x:v>
      </x:c>
      <x:c r="Q23" s="31" t="n">
        <x:v>0</x:v>
      </x:c>
    </x:row>
    <x:row r="24">
      <x:c r="A24" s="30" t="n">
        <x:v>46241</x:v>
      </x:c>
      <x:c r="B24" s="31" t="str"/>
      <x:c r="C24" s="31" t="str"/>
      <x:c r="D24" s="32" t="n">
        <x:v>0</x:v>
      </x:c>
      <x:c r="E24" s="31" t="n">
        <x:v>0</x:v>
      </x:c>
      <x:c r="F24" s="31" t="n">
        <x:v>0</x:v>
      </x:c>
      <x:c r="G24" s="31" t="n">
        <x:v>0</x:v>
      </x:c>
      <x:c r="H24" s="28" t="n">
        <x:f>IFERROR(G24/E24,0)</x:f>
        <x:v>0</x:v>
      </x:c>
      <x:c r="I24" s="27" t="n">
        <x:f>IFERROR(D24/G24,0)</x:f>
        <x:v>0</x:v>
      </x:c>
      <x:c r="J24" s="27" t="n">
        <x:f>IFERROR(D24/E24*1000,0)</x:f>
        <x:v>0</x:v>
      </x:c>
      <x:c r="K24" s="31" t="n">
        <x:v>0</x:v>
      </x:c>
      <x:c r="L24" s="31" t="n">
        <x:v>0</x:v>
      </x:c>
      <x:c r="M24" s="29" t="n">
        <x:f>IFERROR(L24/K24,0)</x:f>
        <x:v>0</x:v>
      </x:c>
      <x:c r="N24" s="27" t="n">
        <x:f>IFERROR(D24/K24,0)</x:f>
        <x:v>0</x:v>
      </x:c>
      <x:c r="O24" s="27" t="n">
        <x:f>IFERROR(D24/L24,0)</x:f>
        <x:v>0</x:v>
      </x:c>
      <x:c r="P24" s="31" t="n">
        <x:v>0</x:v>
      </x:c>
      <x:c r="Q24" s="31" t="n">
        <x:v>0</x:v>
      </x:c>
    </x:row>
    <x:row r="25">
      <x:c r="A25" s="30" t="n">
        <x:v>46242</x:v>
      </x:c>
      <x:c r="B25" s="31" t="str"/>
      <x:c r="C25" s="31" t="str"/>
      <x:c r="D25" s="32" t="n">
        <x:v>0</x:v>
      </x:c>
      <x:c r="E25" s="31" t="n">
        <x:v>0</x:v>
      </x:c>
      <x:c r="F25" s="31" t="n">
        <x:v>0</x:v>
      </x:c>
      <x:c r="G25" s="31" t="n">
        <x:v>0</x:v>
      </x:c>
      <x:c r="H25" s="28" t="n">
        <x:f>IFERROR(G25/E25,0)</x:f>
        <x:v>0</x:v>
      </x:c>
      <x:c r="I25" s="27" t="n">
        <x:f>IFERROR(D25/G25,0)</x:f>
        <x:v>0</x:v>
      </x:c>
      <x:c r="J25" s="27" t="n">
        <x:f>IFERROR(D25/E25*1000,0)</x:f>
        <x:v>0</x:v>
      </x:c>
      <x:c r="K25" s="31" t="n">
        <x:v>0</x:v>
      </x:c>
      <x:c r="L25" s="31" t="n">
        <x:v>0</x:v>
      </x:c>
      <x:c r="M25" s="29" t="n">
        <x:f>IFERROR(L25/K25,0)</x:f>
        <x:v>0</x:v>
      </x:c>
      <x:c r="N25" s="27" t="n">
        <x:f>IFERROR(D25/K25,0)</x:f>
        <x:v>0</x:v>
      </x:c>
      <x:c r="O25" s="27" t="n">
        <x:f>IFERROR(D25/L25,0)</x:f>
        <x:v>0</x:v>
      </x:c>
      <x:c r="P25" s="31" t="n">
        <x:v>0</x:v>
      </x:c>
      <x:c r="Q25" s="31" t="n">
        <x:v>0</x:v>
      </x:c>
    </x:row>
    <x:row r="26">
      <x:c r="A26" s="30" t="n">
        <x:v>46243</x:v>
      </x:c>
      <x:c r="B26" s="31" t="str"/>
      <x:c r="C26" s="31" t="str"/>
      <x:c r="D26" s="32" t="n">
        <x:v>0</x:v>
      </x:c>
      <x:c r="E26" s="31" t="n">
        <x:v>0</x:v>
      </x:c>
      <x:c r="F26" s="31" t="n">
        <x:v>0</x:v>
      </x:c>
      <x:c r="G26" s="31" t="n">
        <x:v>0</x:v>
      </x:c>
      <x:c r="H26" s="28" t="n">
        <x:f>IFERROR(G26/E26,0)</x:f>
        <x:v>0</x:v>
      </x:c>
      <x:c r="I26" s="27" t="n">
        <x:f>IFERROR(D26/G26,0)</x:f>
        <x:v>0</x:v>
      </x:c>
      <x:c r="J26" s="27" t="n">
        <x:f>IFERROR(D26/E26*1000,0)</x:f>
        <x:v>0</x:v>
      </x:c>
      <x:c r="K26" s="31" t="n">
        <x:v>0</x:v>
      </x:c>
      <x:c r="L26" s="31" t="n">
        <x:v>0</x:v>
      </x:c>
      <x:c r="M26" s="29" t="n">
        <x:f>IFERROR(L26/K26,0)</x:f>
        <x:v>0</x:v>
      </x:c>
      <x:c r="N26" s="27" t="n">
        <x:f>IFERROR(D26/K26,0)</x:f>
        <x:v>0</x:v>
      </x:c>
      <x:c r="O26" s="27" t="n">
        <x:f>IFERROR(D26/L26,0)</x:f>
        <x:v>0</x:v>
      </x:c>
      <x:c r="P26" s="31" t="n">
        <x:v>0</x:v>
      </x:c>
      <x:c r="Q26" s="31" t="n">
        <x:v>0</x:v>
      </x:c>
    </x:row>
    <x:row r="27">
      <x:c r="A27" s="30" t="n">
        <x:v>46244</x:v>
      </x:c>
      <x:c r="B27" s="31" t="str"/>
      <x:c r="C27" s="31" t="str"/>
      <x:c r="D27" s="32" t="n">
        <x:v>0</x:v>
      </x:c>
      <x:c r="E27" s="31" t="n">
        <x:v>0</x:v>
      </x:c>
      <x:c r="F27" s="31" t="n">
        <x:v>0</x:v>
      </x:c>
      <x:c r="G27" s="31" t="n">
        <x:v>0</x:v>
      </x:c>
      <x:c r="H27" s="28" t="n">
        <x:f>IFERROR(G27/E27,0)</x:f>
        <x:v>0</x:v>
      </x:c>
      <x:c r="I27" s="27" t="n">
        <x:f>IFERROR(D27/G27,0)</x:f>
        <x:v>0</x:v>
      </x:c>
      <x:c r="J27" s="27" t="n">
        <x:f>IFERROR(D27/E27*1000,0)</x:f>
        <x:v>0</x:v>
      </x:c>
      <x:c r="K27" s="31" t="n">
        <x:v>0</x:v>
      </x:c>
      <x:c r="L27" s="31" t="n">
        <x:v>0</x:v>
      </x:c>
      <x:c r="M27" s="29" t="n">
        <x:f>IFERROR(L27/K27,0)</x:f>
        <x:v>0</x:v>
      </x:c>
      <x:c r="N27" s="27" t="n">
        <x:f>IFERROR(D27/K27,0)</x:f>
        <x:v>0</x:v>
      </x:c>
      <x:c r="O27" s="27" t="n">
        <x:f>IFERROR(D27/L27,0)</x:f>
        <x:v>0</x:v>
      </x:c>
      <x:c r="P27" s="31" t="n">
        <x:v>0</x:v>
      </x:c>
      <x:c r="Q27" s="31" t="n">
        <x:v>0</x:v>
      </x:c>
    </x:row>
    <x:row r="28">
      <x:c r="A28" s="30" t="n">
        <x:v>46245</x:v>
      </x:c>
      <x:c r="B28" s="31" t="str"/>
      <x:c r="C28" s="31" t="str"/>
      <x:c r="D28" s="32" t="n">
        <x:v>0</x:v>
      </x:c>
      <x:c r="E28" s="31" t="n">
        <x:v>0</x:v>
      </x:c>
      <x:c r="F28" s="31" t="n">
        <x:v>0</x:v>
      </x:c>
      <x:c r="G28" s="31" t="n">
        <x:v>0</x:v>
      </x:c>
      <x:c r="H28" s="28" t="n">
        <x:f>IFERROR(G28/E28,0)</x:f>
        <x:v>0</x:v>
      </x:c>
      <x:c r="I28" s="27" t="n">
        <x:f>IFERROR(D28/G28,0)</x:f>
        <x:v>0</x:v>
      </x:c>
      <x:c r="J28" s="27" t="n">
        <x:f>IFERROR(D28/E28*1000,0)</x:f>
        <x:v>0</x:v>
      </x:c>
      <x:c r="K28" s="31" t="n">
        <x:v>0</x:v>
      </x:c>
      <x:c r="L28" s="31" t="n">
        <x:v>0</x:v>
      </x:c>
      <x:c r="M28" s="29" t="n">
        <x:f>IFERROR(L28/K28,0)</x:f>
        <x:v>0</x:v>
      </x:c>
      <x:c r="N28" s="27" t="n">
        <x:f>IFERROR(D28/K28,0)</x:f>
        <x:v>0</x:v>
      </x:c>
      <x:c r="O28" s="27" t="n">
        <x:f>IFERROR(D28/L28,0)</x:f>
        <x:v>0</x:v>
      </x:c>
      <x:c r="P28" s="31" t="n">
        <x:v>0</x:v>
      </x:c>
      <x:c r="Q28" s="31" t="n">
        <x:v>0</x:v>
      </x:c>
    </x:row>
    <x:row r="29">
      <x:c r="A29" s="30" t="n">
        <x:v>46246</x:v>
      </x:c>
      <x:c r="B29" s="31" t="str"/>
      <x:c r="C29" s="31" t="str"/>
      <x:c r="D29" s="32" t="n">
        <x:v>0</x:v>
      </x:c>
      <x:c r="E29" s="31" t="n">
        <x:v>0</x:v>
      </x:c>
      <x:c r="F29" s="31" t="n">
        <x:v>0</x:v>
      </x:c>
      <x:c r="G29" s="31" t="n">
        <x:v>0</x:v>
      </x:c>
      <x:c r="H29" s="28" t="n">
        <x:f>IFERROR(G29/E29,0)</x:f>
        <x:v>0</x:v>
      </x:c>
      <x:c r="I29" s="27" t="n">
        <x:f>IFERROR(D29/G29,0)</x:f>
        <x:v>0</x:v>
      </x:c>
      <x:c r="J29" s="27" t="n">
        <x:f>IFERROR(D29/E29*1000,0)</x:f>
        <x:v>0</x:v>
      </x:c>
      <x:c r="K29" s="31" t="n">
        <x:v>0</x:v>
      </x:c>
      <x:c r="L29" s="31" t="n">
        <x:v>0</x:v>
      </x:c>
      <x:c r="M29" s="29" t="n">
        <x:f>IFERROR(L29/K29,0)</x:f>
        <x:v>0</x:v>
      </x:c>
      <x:c r="N29" s="27" t="n">
        <x:f>IFERROR(D29/K29,0)</x:f>
        <x:v>0</x:v>
      </x:c>
      <x:c r="O29" s="27" t="n">
        <x:f>IFERROR(D29/L29,0)</x:f>
        <x:v>0</x:v>
      </x:c>
      <x:c r="P29" s="31" t="n">
        <x:v>0</x:v>
      </x:c>
      <x:c r="Q29" s="31" t="n">
        <x:v>0</x:v>
      </x:c>
    </x:row>
    <x:row r="30">
      <x:c r="A30" s="30" t="n">
        <x:v>46247</x:v>
      </x:c>
      <x:c r="B30" s="31" t="str"/>
      <x:c r="C30" s="31" t="str"/>
      <x:c r="D30" s="32" t="n">
        <x:v>0</x:v>
      </x:c>
      <x:c r="E30" s="31" t="n">
        <x:v>0</x:v>
      </x:c>
      <x:c r="F30" s="31" t="n">
        <x:v>0</x:v>
      </x:c>
      <x:c r="G30" s="31" t="n">
        <x:v>0</x:v>
      </x:c>
      <x:c r="H30" s="28" t="n">
        <x:f>IFERROR(G30/E30,0)</x:f>
        <x:v>0</x:v>
      </x:c>
      <x:c r="I30" s="27" t="n">
        <x:f>IFERROR(D30/G30,0)</x:f>
        <x:v>0</x:v>
      </x:c>
      <x:c r="J30" s="27" t="n">
        <x:f>IFERROR(D30/E30*1000,0)</x:f>
        <x:v>0</x:v>
      </x:c>
      <x:c r="K30" s="31" t="n">
        <x:v>0</x:v>
      </x:c>
      <x:c r="L30" s="31" t="n">
        <x:v>0</x:v>
      </x:c>
      <x:c r="M30" s="29" t="n">
        <x:f>IFERROR(L30/K30,0)</x:f>
        <x:v>0</x:v>
      </x:c>
      <x:c r="N30" s="27" t="n">
        <x:f>IFERROR(D30/K30,0)</x:f>
        <x:v>0</x:v>
      </x:c>
      <x:c r="O30" s="27" t="n">
        <x:f>IFERROR(D30/L30,0)</x:f>
        <x:v>0</x:v>
      </x:c>
      <x:c r="P30" s="31" t="n">
        <x:v>0</x:v>
      </x:c>
      <x:c r="Q30" s="31" t="n">
        <x:v>0</x:v>
      </x:c>
    </x:row>
    <x:row r="31">
      <x:c r="A31" s="30" t="n">
        <x:v>46248</x:v>
      </x:c>
      <x:c r="B31" s="31" t="str"/>
      <x:c r="C31" s="31" t="str"/>
      <x:c r="D31" s="32" t="n">
        <x:v>0</x:v>
      </x:c>
      <x:c r="E31" s="31" t="n">
        <x:v>0</x:v>
      </x:c>
      <x:c r="F31" s="31" t="n">
        <x:v>0</x:v>
      </x:c>
      <x:c r="G31" s="31" t="n">
        <x:v>0</x:v>
      </x:c>
      <x:c r="H31" s="28" t="n">
        <x:f>IFERROR(G31/E31,0)</x:f>
        <x:v>0</x:v>
      </x:c>
      <x:c r="I31" s="27" t="n">
        <x:f>IFERROR(D31/G31,0)</x:f>
        <x:v>0</x:v>
      </x:c>
      <x:c r="J31" s="27" t="n">
        <x:f>IFERROR(D31/E31*1000,0)</x:f>
        <x:v>0</x:v>
      </x:c>
      <x:c r="K31" s="31" t="n">
        <x:v>0</x:v>
      </x:c>
      <x:c r="L31" s="31" t="n">
        <x:v>0</x:v>
      </x:c>
      <x:c r="M31" s="29" t="n">
        <x:f>IFERROR(L31/K31,0)</x:f>
        <x:v>0</x:v>
      </x:c>
      <x:c r="N31" s="27" t="n">
        <x:f>IFERROR(D31/K31,0)</x:f>
        <x:v>0</x:v>
      </x:c>
      <x:c r="O31" s="27" t="n">
        <x:f>IFERROR(D31/L31,0)</x:f>
        <x:v>0</x:v>
      </x:c>
      <x:c r="P31" s="31" t="n">
        <x:v>0</x:v>
      </x:c>
      <x:c r="Q31" s="31" t="n">
        <x:v>0</x:v>
      </x:c>
    </x:row>
    <x:row r="32">
      <x:c r="A32" s="30" t="n">
        <x:v>46249</x:v>
      </x:c>
      <x:c r="B32" s="31" t="str"/>
      <x:c r="C32" s="31" t="str"/>
      <x:c r="D32" s="32" t="n">
        <x:v>0</x:v>
      </x:c>
      <x:c r="E32" s="31" t="n">
        <x:v>0</x:v>
      </x:c>
      <x:c r="F32" s="31" t="n">
        <x:v>0</x:v>
      </x:c>
      <x:c r="G32" s="31" t="n">
        <x:v>0</x:v>
      </x:c>
      <x:c r="H32" s="28" t="n">
        <x:f>IFERROR(G32/E32,0)</x:f>
        <x:v>0</x:v>
      </x:c>
      <x:c r="I32" s="27" t="n">
        <x:f>IFERROR(D32/G32,0)</x:f>
        <x:v>0</x:v>
      </x:c>
      <x:c r="J32" s="27" t="n">
        <x:f>IFERROR(D32/E32*1000,0)</x:f>
        <x:v>0</x:v>
      </x:c>
      <x:c r="K32" s="31" t="n">
        <x:v>0</x:v>
      </x:c>
      <x:c r="L32" s="31" t="n">
        <x:v>0</x:v>
      </x:c>
      <x:c r="M32" s="29" t="n">
        <x:f>IFERROR(L32/K32,0)</x:f>
        <x:v>0</x:v>
      </x:c>
      <x:c r="N32" s="27" t="n">
        <x:f>IFERROR(D32/K32,0)</x:f>
        <x:v>0</x:v>
      </x:c>
      <x:c r="O32" s="27" t="n">
        <x:f>IFERROR(D32/L32,0)</x:f>
        <x:v>0</x:v>
      </x:c>
      <x:c r="P32" s="31" t="n">
        <x:v>0</x:v>
      </x:c>
      <x:c r="Q32" s="31" t="n">
        <x:v>0</x:v>
      </x:c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15" hidden="0" customWidth="1"/>
    <x:col min="7" max="7" width="22" hidden="0" customWidth="1"/>
    <x:col min="8" max="8" width="15" hidden="0" customWidth="1"/>
    <x:col min="9" max="9" width="15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22" hidden="0" customWidth="1"/>
    <x:col min="15" max="15" width="22" hidden="0" customWidth="1"/>
    <x:col min="16" max="16" width="2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22" hidden="0" customWidth="1"/>
    <x:col min="22" max="22" width="15" hidden="0" customWidth="1"/>
  </x:cols>
  <x:sheetData>
    <x:row r="1" ht="34" customHeight="1">
      <x:c r="A1" s="3" t="str">
        <x:v>LEAD LOG — DÁN DỮ LIỆU GOOGLE SHEETS / CRM</x:v>
      </x:c>
      <x:c r="B1" s="3" t="str">
        <x:v>LEAD LOG — DÁN DỮ LIỆU GOOGLE SHEETS / CRM</x:v>
      </x:c>
      <x:c r="C1" s="3" t="str">
        <x:v>LEAD LOG — DÁN DỮ LIỆU GOOGLE SHEETS / CRM</x:v>
      </x:c>
      <x:c r="D1" s="3" t="str">
        <x:v>LEAD LOG — DÁN DỮ LIỆU GOOGLE SHEETS / CRM</x:v>
      </x:c>
      <x:c r="E1" s="3" t="str">
        <x:v>LEAD LOG — DÁN DỮ LIỆU GOOGLE SHEETS / CRM</x:v>
      </x:c>
      <x:c r="F1" s="3" t="str">
        <x:v>LEAD LOG — DÁN DỮ LIỆU GOOGLE SHEETS / CRM</x:v>
      </x:c>
      <x:c r="G1" s="3" t="str">
        <x:v>LEAD LOG — DÁN DỮ LIỆU GOOGLE SHEETS / CRM</x:v>
      </x:c>
      <x:c r="H1" s="3" t="str">
        <x:v>LEAD LOG — DÁN DỮ LIỆU GOOGLE SHEETS / CRM</x:v>
      </x:c>
      <x:c r="I1" s="3" t="str">
        <x:v>LEAD LOG — DÁN DỮ LIỆU GOOGLE SHEETS / CRM</x:v>
      </x:c>
      <x:c r="J1" s="3" t="str">
        <x:v>LEAD LOG — DÁN DỮ LIỆU GOOGLE SHEETS / CRM</x:v>
      </x:c>
      <x:c r="K1" s="3" t="str">
        <x:v>LEAD LOG — DÁN DỮ LIỆU GOOGLE SHEETS / CRM</x:v>
      </x:c>
      <x:c r="L1" s="3" t="str">
        <x:v>LEAD LOG — DÁN DỮ LIỆU GOOGLE SHEETS / CRM</x:v>
      </x:c>
      <x:c r="M1" s="3" t="str">
        <x:v>LEAD LOG — DÁN DỮ LIỆU GOOGLE SHEETS / CRM</x:v>
      </x:c>
      <x:c r="N1" s="3" t="str">
        <x:v>LEAD LOG — DÁN DỮ LIỆU GOOGLE SHEETS / CRM</x:v>
      </x:c>
      <x:c r="O1" s="3" t="str">
        <x:v>LEAD LOG — DÁN DỮ LIỆU GOOGLE SHEETS / CRM</x:v>
      </x:c>
      <x:c r="P1" s="3" t="str">
        <x:v>LEAD LOG — DÁN DỮ LIỆU GOOGLE SHEETS / CRM</x:v>
      </x:c>
      <x:c r="Q1" s="3" t="str">
        <x:v>LEAD LOG — DÁN DỮ LIỆU GOOGLE SHEETS / CRM</x:v>
      </x:c>
      <x:c r="R1" s="3" t="str">
        <x:v>LEAD LOG — DÁN DỮ LIỆU GOOGLE SHEETS / CRM</x:v>
      </x:c>
      <x:c r="S1" s="3" t="str">
        <x:v>LEAD LOG — DÁN DỮ LIỆU GOOGLE SHEETS / CRM</x:v>
      </x:c>
      <x:c r="T1" s="3" t="str">
        <x:v>LEAD LOG — DÁN DỮ LIỆU GOOGLE SHEETS / CRM</x:v>
      </x:c>
      <x:c r="U1" s="3" t="str">
        <x:v>LEAD LOG — DÁN DỮ LIỆU GOOGLE SHEETS / CRM</x:v>
      </x:c>
      <x:c r="V1" s="3" t="str">
        <x:v>LEAD LOG — DÁN DỮ LIỆU GOOGLE SHEETS / CRM</x:v>
      </x:c>
    </x:row>
    <x:row r="2">
      <x:c r="A2" s="18" t="str">
        <x:v>Submitted At</x:v>
      </x:c>
      <x:c r="B2" s="19" t="str">
        <x:v>Name</x:v>
      </x:c>
      <x:c r="C2" s="19" t="str">
        <x:v>Phone</x:v>
      </x:c>
      <x:c r="D2" s="19" t="str">
        <x:v>Company</x:v>
      </x:c>
      <x:c r="E2" s="19" t="str">
        <x:v>Facility Type</x:v>
      </x:c>
      <x:c r="F2" s="19" t="str">
        <x:v>Contact Role</x:v>
      </x:c>
      <x:c r="G2" s="19" t="str">
        <x:v>Interested In</x:v>
      </x:c>
      <x:c r="H2" s="19" t="str">
        <x:v>Purchase Scale</x:v>
      </x:c>
      <x:c r="I2" s="19" t="str">
        <x:v>Frequency</x:v>
      </x:c>
      <x:c r="J2" s="19" t="str">
        <x:v>Delivery Area</x:v>
      </x:c>
      <x:c r="K2" s="19" t="str">
        <x:v>Need By</x:v>
      </x:c>
      <x:c r="L2" s="19" t="str">
        <x:v>Has List</x:v>
      </x:c>
      <x:c r="M2" s="19" t="str">
        <x:v>Consent</x:v>
      </x:c>
      <x:c r="N2" s="19" t="str">
        <x:v>UTM Campaign</x:v>
      </x:c>
      <x:c r="O2" s="19" t="str">
        <x:v>UTM Content</x:v>
      </x:c>
      <x:c r="P2" s="19" t="str">
        <x:v>UTM Term/Ad set</x:v>
      </x:c>
      <x:c r="Q2" s="19" t="str">
        <x:v>Spend attribution</x:v>
      </x:c>
      <x:c r="R2" s="19" t="str">
        <x:v>Lead Score</x:v>
      </x:c>
      <x:c r="S2" s="19" t="str">
        <x:v>Stage</x:v>
      </x:c>
      <x:c r="T2" s="19" t="str">
        <x:v>Response minutes</x:v>
      </x:c>
      <x:c r="U2" s="19" t="str">
        <x:v>Disqualify reason</x:v>
      </x:c>
      <x:c r="V2" s="20" t="str">
        <x:v>Owner</x:v>
      </x:c>
    </x:row>
    <x:row r="3">
      <x:c r="A3" s="35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4" t="n">
        <x:f>IF(D3="",-3,0)+IF(OR(ISNUMBER(SEARCH("Biên Hòa",J3)),ISNUMBER(SEARCH("Long Thành",J3)),ISNUMBER(SEARCH("Nhơn Trạch",J3)),ISNUMBER(SEARCH("AMATA",J3)),ISNUMBER(SEARCH("Tam Phước",J3)),ISNUMBER(SEARCH("Giang Điền",J3))),3,-2)+IF(OR(I3="Hằng ngày",I3="2–3 lần/tuần"),3,0)+IF(L3="Có",2,0)+IF(K3&lt;&gt;"",2,0)+IF(OR(ISNUMBER(SEARCH("Thu mua",F3)),ISNUMBER(SEARCH("Quản lý",F3)),ISNUMBER(SEARCH("Giám đốc",F3))),2,0)+IF(OR(H3="200–499",H3="500–999",H3="1.000+"),1,0)</x:f>
        <x:v>-5</x:v>
      </x:c>
      <x:c r="S3" s="33"/>
      <x:c r="T3" s="33"/>
      <x:c r="U3" s="33"/>
      <x:c r="V3" s="33"/>
    </x:row>
    <x:row r="4">
      <x:c r="A4" s="35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 t="n">
        <x:f>IF(D4="",-3,0)+IF(OR(ISNUMBER(SEARCH("Biên Hòa",J4)),ISNUMBER(SEARCH("Long Thành",J4)),ISNUMBER(SEARCH("Nhơn Trạch",J4)),ISNUMBER(SEARCH("AMATA",J4)),ISNUMBER(SEARCH("Tam Phước",J4)),ISNUMBER(SEARCH("Giang Điền",J4))),3,-2)+IF(OR(I4="Hằng ngày",I4="2–3 lần/tuần"),3,0)+IF(L4="Có",2,0)+IF(K4&lt;&gt;"",2,0)+IF(OR(ISNUMBER(SEARCH("Thu mua",F4)),ISNUMBER(SEARCH("Quản lý",F4)),ISNUMBER(SEARCH("Giám đốc",F4))),2,0)+IF(OR(H4="200–499",H4="500–999",H4="1.000+"),1,0)</x:f>
        <x:v>-5</x:v>
      </x:c>
      <x:c r="S4" s="33"/>
      <x:c r="T4" s="33"/>
      <x:c r="U4" s="33"/>
      <x:c r="V4" s="33"/>
    </x:row>
    <x:row r="5">
      <x:c r="A5" s="35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4" t="n">
        <x:f>IF(D5="",-3,0)+IF(OR(ISNUMBER(SEARCH("Biên Hòa",J5)),ISNUMBER(SEARCH("Long Thành",J5)),ISNUMBER(SEARCH("Nhơn Trạch",J5)),ISNUMBER(SEARCH("AMATA",J5)),ISNUMBER(SEARCH("Tam Phước",J5)),ISNUMBER(SEARCH("Giang Điền",J5))),3,-2)+IF(OR(I5="Hằng ngày",I5="2–3 lần/tuần"),3,0)+IF(L5="Có",2,0)+IF(K5&lt;&gt;"",2,0)+IF(OR(ISNUMBER(SEARCH("Thu mua",F5)),ISNUMBER(SEARCH("Quản lý",F5)),ISNUMBER(SEARCH("Giám đốc",F5))),2,0)+IF(OR(H5="200–499",H5="500–999",H5="1.000+"),1,0)</x:f>
        <x:v>-5</x:v>
      </x:c>
      <x:c r="S5" s="33"/>
      <x:c r="T5" s="33"/>
      <x:c r="U5" s="33"/>
      <x:c r="V5" s="33"/>
    </x:row>
    <x:row r="6">
      <x:c r="A6" s="35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4" t="n">
        <x:f>IF(D6="",-3,0)+IF(OR(ISNUMBER(SEARCH("Biên Hòa",J6)),ISNUMBER(SEARCH("Long Thành",J6)),ISNUMBER(SEARCH("Nhơn Trạch",J6)),ISNUMBER(SEARCH("AMATA",J6)),ISNUMBER(SEARCH("Tam Phước",J6)),ISNUMBER(SEARCH("Giang Điền",J6))),3,-2)+IF(OR(I6="Hằng ngày",I6="2–3 lần/tuần"),3,0)+IF(L6="Có",2,0)+IF(K6&lt;&gt;"",2,0)+IF(OR(ISNUMBER(SEARCH("Thu mua",F6)),ISNUMBER(SEARCH("Quản lý",F6)),ISNUMBER(SEARCH("Giám đốc",F6))),2,0)+IF(OR(H6="200–499",H6="500–999",H6="1.000+"),1,0)</x:f>
        <x:v>-5</x:v>
      </x:c>
      <x:c r="S6" s="33"/>
      <x:c r="T6" s="33"/>
      <x:c r="U6" s="33"/>
      <x:c r="V6" s="33"/>
    </x:row>
    <x:row r="7">
      <x:c r="A7" s="35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4" t="n">
        <x:f>IF(D7="",-3,0)+IF(OR(ISNUMBER(SEARCH("Biên Hòa",J7)),ISNUMBER(SEARCH("Long Thành",J7)),ISNUMBER(SEARCH("Nhơn Trạch",J7)),ISNUMBER(SEARCH("AMATA",J7)),ISNUMBER(SEARCH("Tam Phước",J7)),ISNUMBER(SEARCH("Giang Điền",J7))),3,-2)+IF(OR(I7="Hằng ngày",I7="2–3 lần/tuần"),3,0)+IF(L7="Có",2,0)+IF(K7&lt;&gt;"",2,0)+IF(OR(ISNUMBER(SEARCH("Thu mua",F7)),ISNUMBER(SEARCH("Quản lý",F7)),ISNUMBER(SEARCH("Giám đốc",F7))),2,0)+IF(OR(H7="200–499",H7="500–999",H7="1.000+"),1,0)</x:f>
        <x:v>-5</x:v>
      </x:c>
      <x:c r="S7" s="33"/>
      <x:c r="T7" s="33"/>
      <x:c r="U7" s="33"/>
      <x:c r="V7" s="33"/>
    </x:row>
    <x:row r="8">
      <x:c r="A8" s="35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4" t="n">
        <x:f>IF(D8="",-3,0)+IF(OR(ISNUMBER(SEARCH("Biên Hòa",J8)),ISNUMBER(SEARCH("Long Thành",J8)),ISNUMBER(SEARCH("Nhơn Trạch",J8)),ISNUMBER(SEARCH("AMATA",J8)),ISNUMBER(SEARCH("Tam Phước",J8)),ISNUMBER(SEARCH("Giang Điền",J8))),3,-2)+IF(OR(I8="Hằng ngày",I8="2–3 lần/tuần"),3,0)+IF(L8="Có",2,0)+IF(K8&lt;&gt;"",2,0)+IF(OR(ISNUMBER(SEARCH("Thu mua",F8)),ISNUMBER(SEARCH("Quản lý",F8)),ISNUMBER(SEARCH("Giám đốc",F8))),2,0)+IF(OR(H8="200–499",H8="500–999",H8="1.000+"),1,0)</x:f>
        <x:v>-5</x:v>
      </x:c>
      <x:c r="S8" s="33"/>
      <x:c r="T8" s="33"/>
      <x:c r="U8" s="33"/>
      <x:c r="V8" s="33"/>
    </x:row>
    <x:row r="9">
      <x:c r="A9" s="35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4" t="n">
        <x:f>IF(D9="",-3,0)+IF(OR(ISNUMBER(SEARCH("Biên Hòa",J9)),ISNUMBER(SEARCH("Long Thành",J9)),ISNUMBER(SEARCH("Nhơn Trạch",J9)),ISNUMBER(SEARCH("AMATA",J9)),ISNUMBER(SEARCH("Tam Phước",J9)),ISNUMBER(SEARCH("Giang Điền",J9))),3,-2)+IF(OR(I9="Hằng ngày",I9="2–3 lần/tuần"),3,0)+IF(L9="Có",2,0)+IF(K9&lt;&gt;"",2,0)+IF(OR(ISNUMBER(SEARCH("Thu mua",F9)),ISNUMBER(SEARCH("Quản lý",F9)),ISNUMBER(SEARCH("Giám đốc",F9))),2,0)+IF(OR(H9="200–499",H9="500–999",H9="1.000+"),1,0)</x:f>
        <x:v>-5</x:v>
      </x:c>
      <x:c r="S9" s="33"/>
      <x:c r="T9" s="33"/>
      <x:c r="U9" s="33"/>
      <x:c r="V9" s="33"/>
    </x:row>
    <x:row r="10">
      <x:c r="A10" s="35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4" t="n">
        <x:f>IF(D10="",-3,0)+IF(OR(ISNUMBER(SEARCH("Biên Hòa",J10)),ISNUMBER(SEARCH("Long Thành",J10)),ISNUMBER(SEARCH("Nhơn Trạch",J10)),ISNUMBER(SEARCH("AMATA",J10)),ISNUMBER(SEARCH("Tam Phước",J10)),ISNUMBER(SEARCH("Giang Điền",J10))),3,-2)+IF(OR(I10="Hằng ngày",I10="2–3 lần/tuần"),3,0)+IF(L10="Có",2,0)+IF(K10&lt;&gt;"",2,0)+IF(OR(ISNUMBER(SEARCH("Thu mua",F10)),ISNUMBER(SEARCH("Quản lý",F10)),ISNUMBER(SEARCH("Giám đốc",F10))),2,0)+IF(OR(H10="200–499",H10="500–999",H10="1.000+"),1,0)</x:f>
        <x:v>-5</x:v>
      </x:c>
      <x:c r="S10" s="33"/>
      <x:c r="T10" s="33"/>
      <x:c r="U10" s="33"/>
      <x:c r="V10" s="33"/>
    </x:row>
    <x:row r="11">
      <x:c r="A11" s="35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4" t="n">
        <x:f>IF(D11="",-3,0)+IF(OR(ISNUMBER(SEARCH("Biên Hòa",J11)),ISNUMBER(SEARCH("Long Thành",J11)),ISNUMBER(SEARCH("Nhơn Trạch",J11)),ISNUMBER(SEARCH("AMATA",J11)),ISNUMBER(SEARCH("Tam Phước",J11)),ISNUMBER(SEARCH("Giang Điền",J11))),3,-2)+IF(OR(I11="Hằng ngày",I11="2–3 lần/tuần"),3,0)+IF(L11="Có",2,0)+IF(K11&lt;&gt;"",2,0)+IF(OR(ISNUMBER(SEARCH("Thu mua",F11)),ISNUMBER(SEARCH("Quản lý",F11)),ISNUMBER(SEARCH("Giám đốc",F11))),2,0)+IF(OR(H11="200–499",H11="500–999",H11="1.000+"),1,0)</x:f>
        <x:v>-5</x:v>
      </x:c>
      <x:c r="S11" s="33"/>
      <x:c r="T11" s="33"/>
      <x:c r="U11" s="33"/>
      <x:c r="V11" s="33"/>
    </x:row>
    <x:row r="12">
      <x:c r="A12" s="35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4" t="n">
        <x:f>IF(D12="",-3,0)+IF(OR(ISNUMBER(SEARCH("Biên Hòa",J12)),ISNUMBER(SEARCH("Long Thành",J12)),ISNUMBER(SEARCH("Nhơn Trạch",J12)),ISNUMBER(SEARCH("AMATA",J12)),ISNUMBER(SEARCH("Tam Phước",J12)),ISNUMBER(SEARCH("Giang Điền",J12))),3,-2)+IF(OR(I12="Hằng ngày",I12="2–3 lần/tuần"),3,0)+IF(L12="Có",2,0)+IF(K12&lt;&gt;"",2,0)+IF(OR(ISNUMBER(SEARCH("Thu mua",F12)),ISNUMBER(SEARCH("Quản lý",F12)),ISNUMBER(SEARCH("Giám đốc",F12))),2,0)+IF(OR(H12="200–499",H12="500–999",H12="1.000+"),1,0)</x:f>
        <x:v>-5</x:v>
      </x:c>
      <x:c r="S12" s="33"/>
      <x:c r="T12" s="33"/>
      <x:c r="U12" s="33"/>
      <x:c r="V12" s="33"/>
    </x:row>
    <x:row r="13">
      <x:c r="A13" s="35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4" t="n">
        <x:f>IF(D13="",-3,0)+IF(OR(ISNUMBER(SEARCH("Biên Hòa",J13)),ISNUMBER(SEARCH("Long Thành",J13)),ISNUMBER(SEARCH("Nhơn Trạch",J13)),ISNUMBER(SEARCH("AMATA",J13)),ISNUMBER(SEARCH("Tam Phước",J13)),ISNUMBER(SEARCH("Giang Điền",J13))),3,-2)+IF(OR(I13="Hằng ngày",I13="2–3 lần/tuần"),3,0)+IF(L13="Có",2,0)+IF(K13&lt;&gt;"",2,0)+IF(OR(ISNUMBER(SEARCH("Thu mua",F13)),ISNUMBER(SEARCH("Quản lý",F13)),ISNUMBER(SEARCH("Giám đốc",F13))),2,0)+IF(OR(H13="200–499",H13="500–999",H13="1.000+"),1,0)</x:f>
        <x:v>-5</x:v>
      </x:c>
      <x:c r="S13" s="33"/>
      <x:c r="T13" s="33"/>
      <x:c r="U13" s="33"/>
      <x:c r="V13" s="33"/>
    </x:row>
    <x:row r="14">
      <x:c r="A14" s="35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4" t="n">
        <x:f>IF(D14="",-3,0)+IF(OR(ISNUMBER(SEARCH("Biên Hòa",J14)),ISNUMBER(SEARCH("Long Thành",J14)),ISNUMBER(SEARCH("Nhơn Trạch",J14)),ISNUMBER(SEARCH("AMATA",J14)),ISNUMBER(SEARCH("Tam Phước",J14)),ISNUMBER(SEARCH("Giang Điền",J14))),3,-2)+IF(OR(I14="Hằng ngày",I14="2–3 lần/tuần"),3,0)+IF(L14="Có",2,0)+IF(K14&lt;&gt;"",2,0)+IF(OR(ISNUMBER(SEARCH("Thu mua",F14)),ISNUMBER(SEARCH("Quản lý",F14)),ISNUMBER(SEARCH("Giám đốc",F14))),2,0)+IF(OR(H14="200–499",H14="500–999",H14="1.000+"),1,0)</x:f>
        <x:v>-5</x:v>
      </x:c>
      <x:c r="S14" s="33"/>
      <x:c r="T14" s="33"/>
      <x:c r="U14" s="33"/>
      <x:c r="V14" s="33"/>
    </x:row>
    <x:row r="15">
      <x:c r="A15" s="35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4" t="n">
        <x:f>IF(D15="",-3,0)+IF(OR(ISNUMBER(SEARCH("Biên Hòa",J15)),ISNUMBER(SEARCH("Long Thành",J15)),ISNUMBER(SEARCH("Nhơn Trạch",J15)),ISNUMBER(SEARCH("AMATA",J15)),ISNUMBER(SEARCH("Tam Phước",J15)),ISNUMBER(SEARCH("Giang Điền",J15))),3,-2)+IF(OR(I15="Hằng ngày",I15="2–3 lần/tuần"),3,0)+IF(L15="Có",2,0)+IF(K15&lt;&gt;"",2,0)+IF(OR(ISNUMBER(SEARCH("Thu mua",F15)),ISNUMBER(SEARCH("Quản lý",F15)),ISNUMBER(SEARCH("Giám đốc",F15))),2,0)+IF(OR(H15="200–499",H15="500–999",H15="1.000+"),1,0)</x:f>
        <x:v>-5</x:v>
      </x:c>
      <x:c r="S15" s="33"/>
      <x:c r="T15" s="33"/>
      <x:c r="U15" s="33"/>
      <x:c r="V15" s="33"/>
    </x:row>
    <x:row r="16">
      <x:c r="A16" s="35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4" t="n">
        <x:f>IF(D16="",-3,0)+IF(OR(ISNUMBER(SEARCH("Biên Hòa",J16)),ISNUMBER(SEARCH("Long Thành",J16)),ISNUMBER(SEARCH("Nhơn Trạch",J16)),ISNUMBER(SEARCH("AMATA",J16)),ISNUMBER(SEARCH("Tam Phước",J16)),ISNUMBER(SEARCH("Giang Điền",J16))),3,-2)+IF(OR(I16="Hằng ngày",I16="2–3 lần/tuần"),3,0)+IF(L16="Có",2,0)+IF(K16&lt;&gt;"",2,0)+IF(OR(ISNUMBER(SEARCH("Thu mua",F16)),ISNUMBER(SEARCH("Quản lý",F16)),ISNUMBER(SEARCH("Giám đốc",F16))),2,0)+IF(OR(H16="200–499",H16="500–999",H16="1.000+"),1,0)</x:f>
        <x:v>-5</x:v>
      </x:c>
      <x:c r="S16" s="33"/>
      <x:c r="T16" s="33"/>
      <x:c r="U16" s="33"/>
      <x:c r="V16" s="33"/>
    </x:row>
    <x:row r="17">
      <x:c r="A17" s="35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4" t="n">
        <x:f>IF(D17="",-3,0)+IF(OR(ISNUMBER(SEARCH("Biên Hòa",J17)),ISNUMBER(SEARCH("Long Thành",J17)),ISNUMBER(SEARCH("Nhơn Trạch",J17)),ISNUMBER(SEARCH("AMATA",J17)),ISNUMBER(SEARCH("Tam Phước",J17)),ISNUMBER(SEARCH("Giang Điền",J17))),3,-2)+IF(OR(I17="Hằng ngày",I17="2–3 lần/tuần"),3,0)+IF(L17="Có",2,0)+IF(K17&lt;&gt;"",2,0)+IF(OR(ISNUMBER(SEARCH("Thu mua",F17)),ISNUMBER(SEARCH("Quản lý",F17)),ISNUMBER(SEARCH("Giám đốc",F17))),2,0)+IF(OR(H17="200–499",H17="500–999",H17="1.000+"),1,0)</x:f>
        <x:v>-5</x:v>
      </x:c>
      <x:c r="S17" s="33"/>
      <x:c r="T17" s="33"/>
      <x:c r="U17" s="33"/>
      <x:c r="V17" s="33"/>
    </x:row>
    <x:row r="18">
      <x:c r="A18" s="35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4" t="n">
        <x:f>IF(D18="",-3,0)+IF(OR(ISNUMBER(SEARCH("Biên Hòa",J18)),ISNUMBER(SEARCH("Long Thành",J18)),ISNUMBER(SEARCH("Nhơn Trạch",J18)),ISNUMBER(SEARCH("AMATA",J18)),ISNUMBER(SEARCH("Tam Phước",J18)),ISNUMBER(SEARCH("Giang Điền",J18))),3,-2)+IF(OR(I18="Hằng ngày",I18="2–3 lần/tuần"),3,0)+IF(L18="Có",2,0)+IF(K18&lt;&gt;"",2,0)+IF(OR(ISNUMBER(SEARCH("Thu mua",F18)),ISNUMBER(SEARCH("Quản lý",F18)),ISNUMBER(SEARCH("Giám đốc",F18))),2,0)+IF(OR(H18="200–499",H18="500–999",H18="1.000+"),1,0)</x:f>
        <x:v>-5</x:v>
      </x:c>
      <x:c r="S18" s="33"/>
      <x:c r="T18" s="33"/>
      <x:c r="U18" s="33"/>
      <x:c r="V18" s="33"/>
    </x:row>
    <x:row r="19">
      <x:c r="A19" s="35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4" t="n">
        <x:f>IF(D19="",-3,0)+IF(OR(ISNUMBER(SEARCH("Biên Hòa",J19)),ISNUMBER(SEARCH("Long Thành",J19)),ISNUMBER(SEARCH("Nhơn Trạch",J19)),ISNUMBER(SEARCH("AMATA",J19)),ISNUMBER(SEARCH("Tam Phước",J19)),ISNUMBER(SEARCH("Giang Điền",J19))),3,-2)+IF(OR(I19="Hằng ngày",I19="2–3 lần/tuần"),3,0)+IF(L19="Có",2,0)+IF(K19&lt;&gt;"",2,0)+IF(OR(ISNUMBER(SEARCH("Thu mua",F19)),ISNUMBER(SEARCH("Quản lý",F19)),ISNUMBER(SEARCH("Giám đốc",F19))),2,0)+IF(OR(H19="200–499",H19="500–999",H19="1.000+"),1,0)</x:f>
        <x:v>-5</x:v>
      </x:c>
      <x:c r="S19" s="33"/>
      <x:c r="T19" s="33"/>
      <x:c r="U19" s="33"/>
      <x:c r="V19" s="33"/>
    </x:row>
    <x:row r="20">
      <x:c r="A20" s="35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4" t="n">
        <x:f>IF(D20="",-3,0)+IF(OR(ISNUMBER(SEARCH("Biên Hòa",J20)),ISNUMBER(SEARCH("Long Thành",J20)),ISNUMBER(SEARCH("Nhơn Trạch",J20)),ISNUMBER(SEARCH("AMATA",J20)),ISNUMBER(SEARCH("Tam Phước",J20)),ISNUMBER(SEARCH("Giang Điền",J20))),3,-2)+IF(OR(I20="Hằng ngày",I20="2–3 lần/tuần"),3,0)+IF(L20="Có",2,0)+IF(K20&lt;&gt;"",2,0)+IF(OR(ISNUMBER(SEARCH("Thu mua",F20)),ISNUMBER(SEARCH("Quản lý",F20)),ISNUMBER(SEARCH("Giám đốc",F20))),2,0)+IF(OR(H20="200–499",H20="500–999",H20="1.000+"),1,0)</x:f>
        <x:v>-5</x:v>
      </x:c>
      <x:c r="S20" s="33"/>
      <x:c r="T20" s="33"/>
      <x:c r="U20" s="33"/>
      <x:c r="V20" s="33"/>
    </x:row>
    <x:row r="21">
      <x:c r="A21" s="35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4" t="n">
        <x:f>IF(D21="",-3,0)+IF(OR(ISNUMBER(SEARCH("Biên Hòa",J21)),ISNUMBER(SEARCH("Long Thành",J21)),ISNUMBER(SEARCH("Nhơn Trạch",J21)),ISNUMBER(SEARCH("AMATA",J21)),ISNUMBER(SEARCH("Tam Phước",J21)),ISNUMBER(SEARCH("Giang Điền",J21))),3,-2)+IF(OR(I21="Hằng ngày",I21="2–3 lần/tuần"),3,0)+IF(L21="Có",2,0)+IF(K21&lt;&gt;"",2,0)+IF(OR(ISNUMBER(SEARCH("Thu mua",F21)),ISNUMBER(SEARCH("Quản lý",F21)),ISNUMBER(SEARCH("Giám đốc",F21))),2,0)+IF(OR(H21="200–499",H21="500–999",H21="1.000+"),1,0)</x:f>
        <x:v>-5</x:v>
      </x:c>
      <x:c r="S21" s="33"/>
      <x:c r="T21" s="33"/>
      <x:c r="U21" s="33"/>
      <x:c r="V21" s="33"/>
    </x:row>
    <x:row r="22">
      <x:c r="A22" s="35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4" t="n">
        <x:f>IF(D22="",-3,0)+IF(OR(ISNUMBER(SEARCH("Biên Hòa",J22)),ISNUMBER(SEARCH("Long Thành",J22)),ISNUMBER(SEARCH("Nhơn Trạch",J22)),ISNUMBER(SEARCH("AMATA",J22)),ISNUMBER(SEARCH("Tam Phước",J22)),ISNUMBER(SEARCH("Giang Điền",J22))),3,-2)+IF(OR(I22="Hằng ngày",I22="2–3 lần/tuần"),3,0)+IF(L22="Có",2,0)+IF(K22&lt;&gt;"",2,0)+IF(OR(ISNUMBER(SEARCH("Thu mua",F22)),ISNUMBER(SEARCH("Quản lý",F22)),ISNUMBER(SEARCH("Giám đốc",F22))),2,0)+IF(OR(H22="200–499",H22="500–999",H22="1.000+"),1,0)</x:f>
        <x:v>-5</x:v>
      </x:c>
      <x:c r="S22" s="33"/>
      <x:c r="T22" s="33"/>
      <x:c r="U22" s="33"/>
      <x:c r="V22" s="33"/>
    </x:row>
    <x:row r="23">
      <x:c r="A23" s="35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4" t="n">
        <x:f>IF(D23="",-3,0)+IF(OR(ISNUMBER(SEARCH("Biên Hòa",J23)),ISNUMBER(SEARCH("Long Thành",J23)),ISNUMBER(SEARCH("Nhơn Trạch",J23)),ISNUMBER(SEARCH("AMATA",J23)),ISNUMBER(SEARCH("Tam Phước",J23)),ISNUMBER(SEARCH("Giang Điền",J23))),3,-2)+IF(OR(I23="Hằng ngày",I23="2–3 lần/tuần"),3,0)+IF(L23="Có",2,0)+IF(K23&lt;&gt;"",2,0)+IF(OR(ISNUMBER(SEARCH("Thu mua",F23)),ISNUMBER(SEARCH("Quản lý",F23)),ISNUMBER(SEARCH("Giám đốc",F23))),2,0)+IF(OR(H23="200–499",H23="500–999",H23="1.000+"),1,0)</x:f>
        <x:v>-5</x:v>
      </x:c>
      <x:c r="S23" s="33"/>
      <x:c r="T23" s="33"/>
      <x:c r="U23" s="33"/>
      <x:c r="V23" s="33"/>
    </x:row>
    <x:row r="24">
      <x:c r="A24" s="35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4" t="n">
        <x:f>IF(D24="",-3,0)+IF(OR(ISNUMBER(SEARCH("Biên Hòa",J24)),ISNUMBER(SEARCH("Long Thành",J24)),ISNUMBER(SEARCH("Nhơn Trạch",J24)),ISNUMBER(SEARCH("AMATA",J24)),ISNUMBER(SEARCH("Tam Phước",J24)),ISNUMBER(SEARCH("Giang Điền",J24))),3,-2)+IF(OR(I24="Hằng ngày",I24="2–3 lần/tuần"),3,0)+IF(L24="Có",2,0)+IF(K24&lt;&gt;"",2,0)+IF(OR(ISNUMBER(SEARCH("Thu mua",F24)),ISNUMBER(SEARCH("Quản lý",F24)),ISNUMBER(SEARCH("Giám đốc",F24))),2,0)+IF(OR(H24="200–499",H24="500–999",H24="1.000+"),1,0)</x:f>
        <x:v>-5</x:v>
      </x:c>
      <x:c r="S24" s="33"/>
      <x:c r="T24" s="33"/>
      <x:c r="U24" s="33"/>
      <x:c r="V24" s="33"/>
    </x:row>
    <x:row r="25">
      <x:c r="A25" s="35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4" t="n">
        <x:f>IF(D25="",-3,0)+IF(OR(ISNUMBER(SEARCH("Biên Hòa",J25)),ISNUMBER(SEARCH("Long Thành",J25)),ISNUMBER(SEARCH("Nhơn Trạch",J25)),ISNUMBER(SEARCH("AMATA",J25)),ISNUMBER(SEARCH("Tam Phước",J25)),ISNUMBER(SEARCH("Giang Điền",J25))),3,-2)+IF(OR(I25="Hằng ngày",I25="2–3 lần/tuần"),3,0)+IF(L25="Có",2,0)+IF(K25&lt;&gt;"",2,0)+IF(OR(ISNUMBER(SEARCH("Thu mua",F25)),ISNUMBER(SEARCH("Quản lý",F25)),ISNUMBER(SEARCH("Giám đốc",F25))),2,0)+IF(OR(H25="200–499",H25="500–999",H25="1.000+"),1,0)</x:f>
        <x:v>-5</x:v>
      </x:c>
      <x:c r="S25" s="33"/>
      <x:c r="T25" s="33"/>
      <x:c r="U25" s="33"/>
      <x:c r="V25" s="33"/>
    </x:row>
    <x:row r="26">
      <x:c r="A26" s="35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4" t="n">
        <x:f>IF(D26="",-3,0)+IF(OR(ISNUMBER(SEARCH("Biên Hòa",J26)),ISNUMBER(SEARCH("Long Thành",J26)),ISNUMBER(SEARCH("Nhơn Trạch",J26)),ISNUMBER(SEARCH("AMATA",J26)),ISNUMBER(SEARCH("Tam Phước",J26)),ISNUMBER(SEARCH("Giang Điền",J26))),3,-2)+IF(OR(I26="Hằng ngày",I26="2–3 lần/tuần"),3,0)+IF(L26="Có",2,0)+IF(K26&lt;&gt;"",2,0)+IF(OR(ISNUMBER(SEARCH("Thu mua",F26)),ISNUMBER(SEARCH("Quản lý",F26)),ISNUMBER(SEARCH("Giám đốc",F26))),2,0)+IF(OR(H26="200–499",H26="500–999",H26="1.000+"),1,0)</x:f>
        <x:v>-5</x:v>
      </x:c>
      <x:c r="S26" s="33"/>
      <x:c r="T26" s="33"/>
      <x:c r="U26" s="33"/>
      <x:c r="V26" s="33"/>
    </x:row>
    <x:row r="27">
      <x:c r="A27" s="35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4" t="n">
        <x:f>IF(D27="",-3,0)+IF(OR(ISNUMBER(SEARCH("Biên Hòa",J27)),ISNUMBER(SEARCH("Long Thành",J27)),ISNUMBER(SEARCH("Nhơn Trạch",J27)),ISNUMBER(SEARCH("AMATA",J27)),ISNUMBER(SEARCH("Tam Phước",J27)),ISNUMBER(SEARCH("Giang Điền",J27))),3,-2)+IF(OR(I27="Hằng ngày",I27="2–3 lần/tuần"),3,0)+IF(L27="Có",2,0)+IF(K27&lt;&gt;"",2,0)+IF(OR(ISNUMBER(SEARCH("Thu mua",F27)),ISNUMBER(SEARCH("Quản lý",F27)),ISNUMBER(SEARCH("Giám đốc",F27))),2,0)+IF(OR(H27="200–499",H27="500–999",H27="1.000+"),1,0)</x:f>
        <x:v>-5</x:v>
      </x:c>
      <x:c r="S27" s="33"/>
      <x:c r="T27" s="33"/>
      <x:c r="U27" s="33"/>
      <x:c r="V27" s="33"/>
    </x:row>
    <x:row r="28">
      <x:c r="A28" s="35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4" t="n">
        <x:f>IF(D28="",-3,0)+IF(OR(ISNUMBER(SEARCH("Biên Hòa",J28)),ISNUMBER(SEARCH("Long Thành",J28)),ISNUMBER(SEARCH("Nhơn Trạch",J28)),ISNUMBER(SEARCH("AMATA",J28)),ISNUMBER(SEARCH("Tam Phước",J28)),ISNUMBER(SEARCH("Giang Điền",J28))),3,-2)+IF(OR(I28="Hằng ngày",I28="2–3 lần/tuần"),3,0)+IF(L28="Có",2,0)+IF(K28&lt;&gt;"",2,0)+IF(OR(ISNUMBER(SEARCH("Thu mua",F28)),ISNUMBER(SEARCH("Quản lý",F28)),ISNUMBER(SEARCH("Giám đốc",F28))),2,0)+IF(OR(H28="200–499",H28="500–999",H28="1.000+"),1,0)</x:f>
        <x:v>-5</x:v>
      </x:c>
      <x:c r="S28" s="33"/>
      <x:c r="T28" s="33"/>
      <x:c r="U28" s="33"/>
      <x:c r="V28" s="33"/>
    </x:row>
    <x:row r="29">
      <x:c r="A29" s="35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4" t="n">
        <x:f>IF(D29="",-3,0)+IF(OR(ISNUMBER(SEARCH("Biên Hòa",J29)),ISNUMBER(SEARCH("Long Thành",J29)),ISNUMBER(SEARCH("Nhơn Trạch",J29)),ISNUMBER(SEARCH("AMATA",J29)),ISNUMBER(SEARCH("Tam Phước",J29)),ISNUMBER(SEARCH("Giang Điền",J29))),3,-2)+IF(OR(I29="Hằng ngày",I29="2–3 lần/tuần"),3,0)+IF(L29="Có",2,0)+IF(K29&lt;&gt;"",2,0)+IF(OR(ISNUMBER(SEARCH("Thu mua",F29)),ISNUMBER(SEARCH("Quản lý",F29)),ISNUMBER(SEARCH("Giám đốc",F29))),2,0)+IF(OR(H29="200–499",H29="500–999",H29="1.000+"),1,0)</x:f>
        <x:v>-5</x:v>
      </x:c>
      <x:c r="S29" s="33"/>
      <x:c r="T29" s="33"/>
      <x:c r="U29" s="33"/>
      <x:c r="V29" s="33"/>
    </x:row>
    <x:row r="30">
      <x:c r="A30" s="35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4" t="n">
        <x:f>IF(D30="",-3,0)+IF(OR(ISNUMBER(SEARCH("Biên Hòa",J30)),ISNUMBER(SEARCH("Long Thành",J30)),ISNUMBER(SEARCH("Nhơn Trạch",J30)),ISNUMBER(SEARCH("AMATA",J30)),ISNUMBER(SEARCH("Tam Phước",J30)),ISNUMBER(SEARCH("Giang Điền",J30))),3,-2)+IF(OR(I30="Hằng ngày",I30="2–3 lần/tuần"),3,0)+IF(L30="Có",2,0)+IF(K30&lt;&gt;"",2,0)+IF(OR(ISNUMBER(SEARCH("Thu mua",F30)),ISNUMBER(SEARCH("Quản lý",F30)),ISNUMBER(SEARCH("Giám đốc",F30))),2,0)+IF(OR(H30="200–499",H30="500–999",H30="1.000+"),1,0)</x:f>
        <x:v>-5</x:v>
      </x:c>
      <x:c r="S30" s="33"/>
      <x:c r="T30" s="33"/>
      <x:c r="U30" s="33"/>
      <x:c r="V30" s="33"/>
    </x:row>
    <x:row r="31">
      <x:c r="A31" s="35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4" t="n">
        <x:f>IF(D31="",-3,0)+IF(OR(ISNUMBER(SEARCH("Biên Hòa",J31)),ISNUMBER(SEARCH("Long Thành",J31)),ISNUMBER(SEARCH("Nhơn Trạch",J31)),ISNUMBER(SEARCH("AMATA",J31)),ISNUMBER(SEARCH("Tam Phước",J31)),ISNUMBER(SEARCH("Giang Điền",J31))),3,-2)+IF(OR(I31="Hằng ngày",I31="2–3 lần/tuần"),3,0)+IF(L31="Có",2,0)+IF(K31&lt;&gt;"",2,0)+IF(OR(ISNUMBER(SEARCH("Thu mua",F31)),ISNUMBER(SEARCH("Quản lý",F31)),ISNUMBER(SEARCH("Giám đốc",F31))),2,0)+IF(OR(H31="200–499",H31="500–999",H31="1.000+"),1,0)</x:f>
        <x:v>-5</x:v>
      </x:c>
      <x:c r="S31" s="33"/>
      <x:c r="T31" s="33"/>
      <x:c r="U31" s="33"/>
      <x:c r="V31" s="33"/>
    </x:row>
    <x:row r="32">
      <x:c r="A32" s="35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4" t="n">
        <x:f>IF(D32="",-3,0)+IF(OR(ISNUMBER(SEARCH("Biên Hòa",J32)),ISNUMBER(SEARCH("Long Thành",J32)),ISNUMBER(SEARCH("Nhơn Trạch",J32)),ISNUMBER(SEARCH("AMATA",J32)),ISNUMBER(SEARCH("Tam Phước",J32)),ISNUMBER(SEARCH("Giang Điền",J32))),3,-2)+IF(OR(I32="Hằng ngày",I32="2–3 lần/tuần"),3,0)+IF(L32="Có",2,0)+IF(K32&lt;&gt;"",2,0)+IF(OR(ISNUMBER(SEARCH("Thu mua",F32)),ISNUMBER(SEARCH("Quản lý",F32)),ISNUMBER(SEARCH("Giám đốc",F32))),2,0)+IF(OR(H32="200–499",H32="500–999",H32="1.000+"),1,0)</x:f>
        <x:v>-5</x:v>
      </x:c>
      <x:c r="S32" s="33"/>
      <x:c r="T32" s="33"/>
      <x:c r="U32" s="33"/>
      <x:c r="V32" s="33"/>
    </x:row>
    <x:row r="33">
      <x:c r="A33" s="35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4" t="n">
        <x:f>IF(D33="",-3,0)+IF(OR(ISNUMBER(SEARCH("Biên Hòa",J33)),ISNUMBER(SEARCH("Long Thành",J33)),ISNUMBER(SEARCH("Nhơn Trạch",J33)),ISNUMBER(SEARCH("AMATA",J33)),ISNUMBER(SEARCH("Tam Phước",J33)),ISNUMBER(SEARCH("Giang Điền",J33))),3,-2)+IF(OR(I33="Hằng ngày",I33="2–3 lần/tuần"),3,0)+IF(L33="Có",2,0)+IF(K33&lt;&gt;"",2,0)+IF(OR(ISNUMBER(SEARCH("Thu mua",F33)),ISNUMBER(SEARCH("Quản lý",F33)),ISNUMBER(SEARCH("Giám đốc",F33))),2,0)+IF(OR(H33="200–499",H33="500–999",H33="1.000+"),1,0)</x:f>
        <x:v>-5</x:v>
      </x:c>
      <x:c r="S33" s="33"/>
      <x:c r="T33" s="33"/>
      <x:c r="U33" s="33"/>
      <x:c r="V33" s="33"/>
    </x:row>
    <x:row r="34">
      <x:c r="A34" s="35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4" t="n">
        <x:f>IF(D34="",-3,0)+IF(OR(ISNUMBER(SEARCH("Biên Hòa",J34)),ISNUMBER(SEARCH("Long Thành",J34)),ISNUMBER(SEARCH("Nhơn Trạch",J34)),ISNUMBER(SEARCH("AMATA",J34)),ISNUMBER(SEARCH("Tam Phước",J34)),ISNUMBER(SEARCH("Giang Điền",J34))),3,-2)+IF(OR(I34="Hằng ngày",I34="2–3 lần/tuần"),3,0)+IF(L34="Có",2,0)+IF(K34&lt;&gt;"",2,0)+IF(OR(ISNUMBER(SEARCH("Thu mua",F34)),ISNUMBER(SEARCH("Quản lý",F34)),ISNUMBER(SEARCH("Giám đốc",F34))),2,0)+IF(OR(H34="200–499",H34="500–999",H34="1.000+"),1,0)</x:f>
        <x:v>-5</x:v>
      </x:c>
      <x:c r="S34" s="33"/>
      <x:c r="T34" s="33"/>
      <x:c r="U34" s="33"/>
      <x:c r="V34" s="33"/>
    </x:row>
    <x:row r="35">
      <x:c r="A35" s="35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4" t="n">
        <x:f>IF(D35="",-3,0)+IF(OR(ISNUMBER(SEARCH("Biên Hòa",J35)),ISNUMBER(SEARCH("Long Thành",J35)),ISNUMBER(SEARCH("Nhơn Trạch",J35)),ISNUMBER(SEARCH("AMATA",J35)),ISNUMBER(SEARCH("Tam Phước",J35)),ISNUMBER(SEARCH("Giang Điền",J35))),3,-2)+IF(OR(I35="Hằng ngày",I35="2–3 lần/tuần"),3,0)+IF(L35="Có",2,0)+IF(K35&lt;&gt;"",2,0)+IF(OR(ISNUMBER(SEARCH("Thu mua",F35)),ISNUMBER(SEARCH("Quản lý",F35)),ISNUMBER(SEARCH("Giám đốc",F35))),2,0)+IF(OR(H35="200–499",H35="500–999",H35="1.000+"),1,0)</x:f>
        <x:v>-5</x:v>
      </x:c>
      <x:c r="S35" s="33"/>
      <x:c r="T35" s="33"/>
      <x:c r="U35" s="33"/>
      <x:c r="V35" s="33"/>
    </x:row>
    <x:row r="36">
      <x:c r="A36" s="35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4" t="n">
        <x:f>IF(D36="",-3,0)+IF(OR(ISNUMBER(SEARCH("Biên Hòa",J36)),ISNUMBER(SEARCH("Long Thành",J36)),ISNUMBER(SEARCH("Nhơn Trạch",J36)),ISNUMBER(SEARCH("AMATA",J36)),ISNUMBER(SEARCH("Tam Phước",J36)),ISNUMBER(SEARCH("Giang Điền",J36))),3,-2)+IF(OR(I36="Hằng ngày",I36="2–3 lần/tuần"),3,0)+IF(L36="Có",2,0)+IF(K36&lt;&gt;"",2,0)+IF(OR(ISNUMBER(SEARCH("Thu mua",F36)),ISNUMBER(SEARCH("Quản lý",F36)),ISNUMBER(SEARCH("Giám đốc",F36))),2,0)+IF(OR(H36="200–499",H36="500–999",H36="1.000+"),1,0)</x:f>
        <x:v>-5</x:v>
      </x:c>
      <x:c r="S36" s="33"/>
      <x:c r="T36" s="33"/>
      <x:c r="U36" s="33"/>
      <x:c r="V36" s="33"/>
    </x:row>
    <x:row r="37">
      <x:c r="A37" s="35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4" t="n">
        <x:f>IF(D37="",-3,0)+IF(OR(ISNUMBER(SEARCH("Biên Hòa",J37)),ISNUMBER(SEARCH("Long Thành",J37)),ISNUMBER(SEARCH("Nhơn Trạch",J37)),ISNUMBER(SEARCH("AMATA",J37)),ISNUMBER(SEARCH("Tam Phước",J37)),ISNUMBER(SEARCH("Giang Điền",J37))),3,-2)+IF(OR(I37="Hằng ngày",I37="2–3 lần/tuần"),3,0)+IF(L37="Có",2,0)+IF(K37&lt;&gt;"",2,0)+IF(OR(ISNUMBER(SEARCH("Thu mua",F37)),ISNUMBER(SEARCH("Quản lý",F37)),ISNUMBER(SEARCH("Giám đốc",F37))),2,0)+IF(OR(H37="200–499",H37="500–999",H37="1.000+"),1,0)</x:f>
        <x:v>-5</x:v>
      </x:c>
      <x:c r="S37" s="33"/>
      <x:c r="T37" s="33"/>
      <x:c r="U37" s="33"/>
      <x:c r="V37" s="33"/>
    </x:row>
    <x:row r="38">
      <x:c r="A38" s="35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4" t="n">
        <x:f>IF(D38="",-3,0)+IF(OR(ISNUMBER(SEARCH("Biên Hòa",J38)),ISNUMBER(SEARCH("Long Thành",J38)),ISNUMBER(SEARCH("Nhơn Trạch",J38)),ISNUMBER(SEARCH("AMATA",J38)),ISNUMBER(SEARCH("Tam Phước",J38)),ISNUMBER(SEARCH("Giang Điền",J38))),3,-2)+IF(OR(I38="Hằng ngày",I38="2–3 lần/tuần"),3,0)+IF(L38="Có",2,0)+IF(K38&lt;&gt;"",2,0)+IF(OR(ISNUMBER(SEARCH("Thu mua",F38)),ISNUMBER(SEARCH("Quản lý",F38)),ISNUMBER(SEARCH("Giám đốc",F38))),2,0)+IF(OR(H38="200–499",H38="500–999",H38="1.000+"),1,0)</x:f>
        <x:v>-5</x:v>
      </x:c>
      <x:c r="S38" s="33"/>
      <x:c r="T38" s="33"/>
      <x:c r="U38" s="33"/>
      <x:c r="V38" s="33"/>
    </x:row>
    <x:row r="39">
      <x:c r="A39" s="35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4" t="n">
        <x:f>IF(D39="",-3,0)+IF(OR(ISNUMBER(SEARCH("Biên Hòa",J39)),ISNUMBER(SEARCH("Long Thành",J39)),ISNUMBER(SEARCH("Nhơn Trạch",J39)),ISNUMBER(SEARCH("AMATA",J39)),ISNUMBER(SEARCH("Tam Phước",J39)),ISNUMBER(SEARCH("Giang Điền",J39))),3,-2)+IF(OR(I39="Hằng ngày",I39="2–3 lần/tuần"),3,0)+IF(L39="Có",2,0)+IF(K39&lt;&gt;"",2,0)+IF(OR(ISNUMBER(SEARCH("Thu mua",F39)),ISNUMBER(SEARCH("Quản lý",F39)),ISNUMBER(SEARCH("Giám đốc",F39))),2,0)+IF(OR(H39="200–499",H39="500–999",H39="1.000+"),1,0)</x:f>
        <x:v>-5</x:v>
      </x:c>
      <x:c r="S39" s="33"/>
      <x:c r="T39" s="33"/>
      <x:c r="U39" s="33"/>
      <x:c r="V39" s="33"/>
    </x:row>
    <x:row r="40">
      <x:c r="A40" s="35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4" t="n">
        <x:f>IF(D40="",-3,0)+IF(OR(ISNUMBER(SEARCH("Biên Hòa",J40)),ISNUMBER(SEARCH("Long Thành",J40)),ISNUMBER(SEARCH("Nhơn Trạch",J40)),ISNUMBER(SEARCH("AMATA",J40)),ISNUMBER(SEARCH("Tam Phước",J40)),ISNUMBER(SEARCH("Giang Điền",J40))),3,-2)+IF(OR(I40="Hằng ngày",I40="2–3 lần/tuần"),3,0)+IF(L40="Có",2,0)+IF(K40&lt;&gt;"",2,0)+IF(OR(ISNUMBER(SEARCH("Thu mua",F40)),ISNUMBER(SEARCH("Quản lý",F40)),ISNUMBER(SEARCH("Giám đốc",F40))),2,0)+IF(OR(H40="200–499",H40="500–999",H40="1.000+"),1,0)</x:f>
        <x:v>-5</x:v>
      </x:c>
      <x:c r="S40" s="33"/>
      <x:c r="T40" s="33"/>
      <x:c r="U40" s="33"/>
      <x:c r="V40" s="33"/>
    </x:row>
    <x:row r="41">
      <x:c r="A41" s="35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4" t="n">
        <x:f>IF(D41="",-3,0)+IF(OR(ISNUMBER(SEARCH("Biên Hòa",J41)),ISNUMBER(SEARCH("Long Thành",J41)),ISNUMBER(SEARCH("Nhơn Trạch",J41)),ISNUMBER(SEARCH("AMATA",J41)),ISNUMBER(SEARCH("Tam Phước",J41)),ISNUMBER(SEARCH("Giang Điền",J41))),3,-2)+IF(OR(I41="Hằng ngày",I41="2–3 lần/tuần"),3,0)+IF(L41="Có",2,0)+IF(K41&lt;&gt;"",2,0)+IF(OR(ISNUMBER(SEARCH("Thu mua",F41)),ISNUMBER(SEARCH("Quản lý",F41)),ISNUMBER(SEARCH("Giám đốc",F41))),2,0)+IF(OR(H41="200–499",H41="500–999",H41="1.000+"),1,0)</x:f>
        <x:v>-5</x:v>
      </x:c>
      <x:c r="S41" s="33"/>
      <x:c r="T41" s="33"/>
      <x:c r="U41" s="33"/>
      <x:c r="V41" s="33"/>
    </x:row>
    <x:row r="42">
      <x:c r="A42" s="35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4" t="n">
        <x:f>IF(D42="",-3,0)+IF(OR(ISNUMBER(SEARCH("Biên Hòa",J42)),ISNUMBER(SEARCH("Long Thành",J42)),ISNUMBER(SEARCH("Nhơn Trạch",J42)),ISNUMBER(SEARCH("AMATA",J42)),ISNUMBER(SEARCH("Tam Phước",J42)),ISNUMBER(SEARCH("Giang Điền",J42))),3,-2)+IF(OR(I42="Hằng ngày",I42="2–3 lần/tuần"),3,0)+IF(L42="Có",2,0)+IF(K42&lt;&gt;"",2,0)+IF(OR(ISNUMBER(SEARCH("Thu mua",F42)),ISNUMBER(SEARCH("Quản lý",F42)),ISNUMBER(SEARCH("Giám đốc",F42))),2,0)+IF(OR(H42="200–499",H42="500–999",H42="1.000+"),1,0)</x:f>
        <x:v>-5</x:v>
      </x:c>
      <x:c r="S42" s="33"/>
      <x:c r="T42" s="33"/>
      <x:c r="U42" s="33"/>
      <x:c r="V42" s="33"/>
    </x:row>
    <x:row r="43">
      <x:c r="A43" s="35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4" t="n">
        <x:f>IF(D43="",-3,0)+IF(OR(ISNUMBER(SEARCH("Biên Hòa",J43)),ISNUMBER(SEARCH("Long Thành",J43)),ISNUMBER(SEARCH("Nhơn Trạch",J43)),ISNUMBER(SEARCH("AMATA",J43)),ISNUMBER(SEARCH("Tam Phước",J43)),ISNUMBER(SEARCH("Giang Điền",J43))),3,-2)+IF(OR(I43="Hằng ngày",I43="2–3 lần/tuần"),3,0)+IF(L43="Có",2,0)+IF(K43&lt;&gt;"",2,0)+IF(OR(ISNUMBER(SEARCH("Thu mua",F43)),ISNUMBER(SEARCH("Quản lý",F43)),ISNUMBER(SEARCH("Giám đốc",F43))),2,0)+IF(OR(H43="200–499",H43="500–999",H43="1.000+"),1,0)</x:f>
        <x:v>-5</x:v>
      </x:c>
      <x:c r="S43" s="33"/>
      <x:c r="T43" s="33"/>
      <x:c r="U43" s="33"/>
      <x:c r="V43" s="33"/>
    </x:row>
    <x:row r="44">
      <x:c r="A44" s="35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4" t="n">
        <x:f>IF(D44="",-3,0)+IF(OR(ISNUMBER(SEARCH("Biên Hòa",J44)),ISNUMBER(SEARCH("Long Thành",J44)),ISNUMBER(SEARCH("Nhơn Trạch",J44)),ISNUMBER(SEARCH("AMATA",J44)),ISNUMBER(SEARCH("Tam Phước",J44)),ISNUMBER(SEARCH("Giang Điền",J44))),3,-2)+IF(OR(I44="Hằng ngày",I44="2–3 lần/tuần"),3,0)+IF(L44="Có",2,0)+IF(K44&lt;&gt;"",2,0)+IF(OR(ISNUMBER(SEARCH("Thu mua",F44)),ISNUMBER(SEARCH("Quản lý",F44)),ISNUMBER(SEARCH("Giám đốc",F44))),2,0)+IF(OR(H44="200–499",H44="500–999",H44="1.000+"),1,0)</x:f>
        <x:v>-5</x:v>
      </x:c>
      <x:c r="S44" s="33"/>
      <x:c r="T44" s="33"/>
      <x:c r="U44" s="33"/>
      <x:c r="V44" s="33"/>
    </x:row>
    <x:row r="45">
      <x:c r="A45" s="35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4" t="n">
        <x:f>IF(D45="",-3,0)+IF(OR(ISNUMBER(SEARCH("Biên Hòa",J45)),ISNUMBER(SEARCH("Long Thành",J45)),ISNUMBER(SEARCH("Nhơn Trạch",J45)),ISNUMBER(SEARCH("AMATA",J45)),ISNUMBER(SEARCH("Tam Phước",J45)),ISNUMBER(SEARCH("Giang Điền",J45))),3,-2)+IF(OR(I45="Hằng ngày",I45="2–3 lần/tuần"),3,0)+IF(L45="Có",2,0)+IF(K45&lt;&gt;"",2,0)+IF(OR(ISNUMBER(SEARCH("Thu mua",F45)),ISNUMBER(SEARCH("Quản lý",F45)),ISNUMBER(SEARCH("Giám đốc",F45))),2,0)+IF(OR(H45="200–499",H45="500–999",H45="1.000+"),1,0)</x:f>
        <x:v>-5</x:v>
      </x:c>
      <x:c r="S45" s="33"/>
      <x:c r="T45" s="33"/>
      <x:c r="U45" s="33"/>
      <x:c r="V45" s="33"/>
    </x:row>
    <x:row r="46">
      <x:c r="A46" s="35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4" t="n">
        <x:f>IF(D46="",-3,0)+IF(OR(ISNUMBER(SEARCH("Biên Hòa",J46)),ISNUMBER(SEARCH("Long Thành",J46)),ISNUMBER(SEARCH("Nhơn Trạch",J46)),ISNUMBER(SEARCH("AMATA",J46)),ISNUMBER(SEARCH("Tam Phước",J46)),ISNUMBER(SEARCH("Giang Điền",J46))),3,-2)+IF(OR(I46="Hằng ngày",I46="2–3 lần/tuần"),3,0)+IF(L46="Có",2,0)+IF(K46&lt;&gt;"",2,0)+IF(OR(ISNUMBER(SEARCH("Thu mua",F46)),ISNUMBER(SEARCH("Quản lý",F46)),ISNUMBER(SEARCH("Giám đốc",F46))),2,0)+IF(OR(H46="200–499",H46="500–999",H46="1.000+"),1,0)</x:f>
        <x:v>-5</x:v>
      </x:c>
      <x:c r="S46" s="33"/>
      <x:c r="T46" s="33"/>
      <x:c r="U46" s="33"/>
      <x:c r="V46" s="33"/>
    </x:row>
    <x:row r="47">
      <x:c r="A47" s="35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4" t="n">
        <x:f>IF(D47="",-3,0)+IF(OR(ISNUMBER(SEARCH("Biên Hòa",J47)),ISNUMBER(SEARCH("Long Thành",J47)),ISNUMBER(SEARCH("Nhơn Trạch",J47)),ISNUMBER(SEARCH("AMATA",J47)),ISNUMBER(SEARCH("Tam Phước",J47)),ISNUMBER(SEARCH("Giang Điền",J47))),3,-2)+IF(OR(I47="Hằng ngày",I47="2–3 lần/tuần"),3,0)+IF(L47="Có",2,0)+IF(K47&lt;&gt;"",2,0)+IF(OR(ISNUMBER(SEARCH("Thu mua",F47)),ISNUMBER(SEARCH("Quản lý",F47)),ISNUMBER(SEARCH("Giám đốc",F47))),2,0)+IF(OR(H47="200–499",H47="500–999",H47="1.000+"),1,0)</x:f>
        <x:v>-5</x:v>
      </x:c>
      <x:c r="S47" s="33"/>
      <x:c r="T47" s="33"/>
      <x:c r="U47" s="33"/>
      <x:c r="V47" s="33"/>
    </x:row>
    <x:row r="48">
      <x:c r="A48" s="35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4" t="n">
        <x:f>IF(D48="",-3,0)+IF(OR(ISNUMBER(SEARCH("Biên Hòa",J48)),ISNUMBER(SEARCH("Long Thành",J48)),ISNUMBER(SEARCH("Nhơn Trạch",J48)),ISNUMBER(SEARCH("AMATA",J48)),ISNUMBER(SEARCH("Tam Phước",J48)),ISNUMBER(SEARCH("Giang Điền",J48))),3,-2)+IF(OR(I48="Hằng ngày",I48="2–3 lần/tuần"),3,0)+IF(L48="Có",2,0)+IF(K48&lt;&gt;"",2,0)+IF(OR(ISNUMBER(SEARCH("Thu mua",F48)),ISNUMBER(SEARCH("Quản lý",F48)),ISNUMBER(SEARCH("Giám đốc",F48))),2,0)+IF(OR(H48="200–499",H48="500–999",H48="1.000+"),1,0)</x:f>
        <x:v>-5</x:v>
      </x:c>
      <x:c r="S48" s="33"/>
      <x:c r="T48" s="33"/>
      <x:c r="U48" s="33"/>
      <x:c r="V48" s="33"/>
    </x:row>
    <x:row r="49">
      <x:c r="A49" s="35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4" t="n">
        <x:f>IF(D49="",-3,0)+IF(OR(ISNUMBER(SEARCH("Biên Hòa",J49)),ISNUMBER(SEARCH("Long Thành",J49)),ISNUMBER(SEARCH("Nhơn Trạch",J49)),ISNUMBER(SEARCH("AMATA",J49)),ISNUMBER(SEARCH("Tam Phước",J49)),ISNUMBER(SEARCH("Giang Điền",J49))),3,-2)+IF(OR(I49="Hằng ngày",I49="2–3 lần/tuần"),3,0)+IF(L49="Có",2,0)+IF(K49&lt;&gt;"",2,0)+IF(OR(ISNUMBER(SEARCH("Thu mua",F49)),ISNUMBER(SEARCH("Quản lý",F49)),ISNUMBER(SEARCH("Giám đốc",F49))),2,0)+IF(OR(H49="200–499",H49="500–999",H49="1.000+"),1,0)</x:f>
        <x:v>-5</x:v>
      </x:c>
      <x:c r="S49" s="33"/>
      <x:c r="T49" s="33"/>
      <x:c r="U49" s="33"/>
      <x:c r="V49" s="33"/>
    </x:row>
    <x:row r="50">
      <x:c r="A50" s="35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4" t="n">
        <x:f>IF(D50="",-3,0)+IF(OR(ISNUMBER(SEARCH("Biên Hòa",J50)),ISNUMBER(SEARCH("Long Thành",J50)),ISNUMBER(SEARCH("Nhơn Trạch",J50)),ISNUMBER(SEARCH("AMATA",J50)),ISNUMBER(SEARCH("Tam Phước",J50)),ISNUMBER(SEARCH("Giang Điền",J50))),3,-2)+IF(OR(I50="Hằng ngày",I50="2–3 lần/tuần"),3,0)+IF(L50="Có",2,0)+IF(K50&lt;&gt;"",2,0)+IF(OR(ISNUMBER(SEARCH("Thu mua",F50)),ISNUMBER(SEARCH("Quản lý",F50)),ISNUMBER(SEARCH("Giám đốc",F50))),2,0)+IF(OR(H50="200–499",H50="500–999",H50="1.000+"),1,0)</x:f>
        <x:v>-5</x:v>
      </x:c>
      <x:c r="S50" s="33"/>
      <x:c r="T50" s="33"/>
      <x:c r="U50" s="33"/>
      <x:c r="V50" s="33"/>
    </x:row>
    <x:row r="51">
      <x:c r="A51" s="35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4" t="n">
        <x:f>IF(D51="",-3,0)+IF(OR(ISNUMBER(SEARCH("Biên Hòa",J51)),ISNUMBER(SEARCH("Long Thành",J51)),ISNUMBER(SEARCH("Nhơn Trạch",J51)),ISNUMBER(SEARCH("AMATA",J51)),ISNUMBER(SEARCH("Tam Phước",J51)),ISNUMBER(SEARCH("Giang Điền",J51))),3,-2)+IF(OR(I51="Hằng ngày",I51="2–3 lần/tuần"),3,0)+IF(L51="Có",2,0)+IF(K51&lt;&gt;"",2,0)+IF(OR(ISNUMBER(SEARCH("Thu mua",F51)),ISNUMBER(SEARCH("Quản lý",F51)),ISNUMBER(SEARCH("Giám đốc",F51))),2,0)+IF(OR(H51="200–499",H51="500–999",H51="1.000+"),1,0)</x:f>
        <x:v>-5</x:v>
      </x:c>
      <x:c r="S51" s="33"/>
      <x:c r="T51" s="33"/>
      <x:c r="U51" s="33"/>
      <x:c r="V51" s="33"/>
    </x:row>
    <x:row r="52">
      <x:c r="A52" s="35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4" t="n">
        <x:f>IF(D52="",-3,0)+IF(OR(ISNUMBER(SEARCH("Biên Hòa",J52)),ISNUMBER(SEARCH("Long Thành",J52)),ISNUMBER(SEARCH("Nhơn Trạch",J52)),ISNUMBER(SEARCH("AMATA",J52)),ISNUMBER(SEARCH("Tam Phước",J52)),ISNUMBER(SEARCH("Giang Điền",J52))),3,-2)+IF(OR(I52="Hằng ngày",I52="2–3 lần/tuần"),3,0)+IF(L52="Có",2,0)+IF(K52&lt;&gt;"",2,0)+IF(OR(ISNUMBER(SEARCH("Thu mua",F52)),ISNUMBER(SEARCH("Quản lý",F52)),ISNUMBER(SEARCH("Giám đốc",F52))),2,0)+IF(OR(H52="200–499",H52="500–999",H52="1.000+"),1,0)</x:f>
        <x:v>-5</x:v>
      </x:c>
      <x:c r="S52" s="33"/>
      <x:c r="T52" s="33"/>
      <x:c r="U52" s="33"/>
      <x:c r="V52" s="33"/>
    </x:row>
    <x:row r="53">
      <x:c r="A53" s="35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4" t="n">
        <x:f>IF(D53="",-3,0)+IF(OR(ISNUMBER(SEARCH("Biên Hòa",J53)),ISNUMBER(SEARCH("Long Thành",J53)),ISNUMBER(SEARCH("Nhơn Trạch",J53)),ISNUMBER(SEARCH("AMATA",J53)),ISNUMBER(SEARCH("Tam Phước",J53)),ISNUMBER(SEARCH("Giang Điền",J53))),3,-2)+IF(OR(I53="Hằng ngày",I53="2–3 lần/tuần"),3,0)+IF(L53="Có",2,0)+IF(K53&lt;&gt;"",2,0)+IF(OR(ISNUMBER(SEARCH("Thu mua",F53)),ISNUMBER(SEARCH("Quản lý",F53)),ISNUMBER(SEARCH("Giám đốc",F53))),2,0)+IF(OR(H53="200–499",H53="500–999",H53="1.000+"),1,0)</x:f>
        <x:v>-5</x:v>
      </x:c>
      <x:c r="S53" s="33"/>
      <x:c r="T53" s="33"/>
      <x:c r="U53" s="33"/>
      <x:c r="V53" s="33"/>
    </x:row>
    <x:row r="54">
      <x:c r="A54" s="35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4" t="n">
        <x:f>IF(D54="",-3,0)+IF(OR(ISNUMBER(SEARCH("Biên Hòa",J54)),ISNUMBER(SEARCH("Long Thành",J54)),ISNUMBER(SEARCH("Nhơn Trạch",J54)),ISNUMBER(SEARCH("AMATA",J54)),ISNUMBER(SEARCH("Tam Phước",J54)),ISNUMBER(SEARCH("Giang Điền",J54))),3,-2)+IF(OR(I54="Hằng ngày",I54="2–3 lần/tuần"),3,0)+IF(L54="Có",2,0)+IF(K54&lt;&gt;"",2,0)+IF(OR(ISNUMBER(SEARCH("Thu mua",F54)),ISNUMBER(SEARCH("Quản lý",F54)),ISNUMBER(SEARCH("Giám đốc",F54))),2,0)+IF(OR(H54="200–499",H54="500–999",H54="1.000+"),1,0)</x:f>
        <x:v>-5</x:v>
      </x:c>
      <x:c r="S54" s="33"/>
      <x:c r="T54" s="33"/>
      <x:c r="U54" s="33"/>
      <x:c r="V54" s="33"/>
    </x:row>
    <x:row r="55">
      <x:c r="A55" s="35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4" t="n">
        <x:f>IF(D55="",-3,0)+IF(OR(ISNUMBER(SEARCH("Biên Hòa",J55)),ISNUMBER(SEARCH("Long Thành",J55)),ISNUMBER(SEARCH("Nhơn Trạch",J55)),ISNUMBER(SEARCH("AMATA",J55)),ISNUMBER(SEARCH("Tam Phước",J55)),ISNUMBER(SEARCH("Giang Điền",J55))),3,-2)+IF(OR(I55="Hằng ngày",I55="2–3 lần/tuần"),3,0)+IF(L55="Có",2,0)+IF(K55&lt;&gt;"",2,0)+IF(OR(ISNUMBER(SEARCH("Thu mua",F55)),ISNUMBER(SEARCH("Quản lý",F55)),ISNUMBER(SEARCH("Giám đốc",F55))),2,0)+IF(OR(H55="200–499",H55="500–999",H55="1.000+"),1,0)</x:f>
        <x:v>-5</x:v>
      </x:c>
      <x:c r="S55" s="33"/>
      <x:c r="T55" s="33"/>
      <x:c r="U55" s="33"/>
      <x:c r="V55" s="33"/>
    </x:row>
    <x:row r="56">
      <x:c r="A56" s="35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4" t="n">
        <x:f>IF(D56="",-3,0)+IF(OR(ISNUMBER(SEARCH("Biên Hòa",J56)),ISNUMBER(SEARCH("Long Thành",J56)),ISNUMBER(SEARCH("Nhơn Trạch",J56)),ISNUMBER(SEARCH("AMATA",J56)),ISNUMBER(SEARCH("Tam Phước",J56)),ISNUMBER(SEARCH("Giang Điền",J56))),3,-2)+IF(OR(I56="Hằng ngày",I56="2–3 lần/tuần"),3,0)+IF(L56="Có",2,0)+IF(K56&lt;&gt;"",2,0)+IF(OR(ISNUMBER(SEARCH("Thu mua",F56)),ISNUMBER(SEARCH("Quản lý",F56)),ISNUMBER(SEARCH("Giám đốc",F56))),2,0)+IF(OR(H56="200–499",H56="500–999",H56="1.000+"),1,0)</x:f>
        <x:v>-5</x:v>
      </x:c>
      <x:c r="S56" s="33"/>
      <x:c r="T56" s="33"/>
      <x:c r="U56" s="33"/>
      <x:c r="V56" s="33"/>
    </x:row>
    <x:row r="57">
      <x:c r="A57" s="35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4" t="n">
        <x:f>IF(D57="",-3,0)+IF(OR(ISNUMBER(SEARCH("Biên Hòa",J57)),ISNUMBER(SEARCH("Long Thành",J57)),ISNUMBER(SEARCH("Nhơn Trạch",J57)),ISNUMBER(SEARCH("AMATA",J57)),ISNUMBER(SEARCH("Tam Phước",J57)),ISNUMBER(SEARCH("Giang Điền",J57))),3,-2)+IF(OR(I57="Hằng ngày",I57="2–3 lần/tuần"),3,0)+IF(L57="Có",2,0)+IF(K57&lt;&gt;"",2,0)+IF(OR(ISNUMBER(SEARCH("Thu mua",F57)),ISNUMBER(SEARCH("Quản lý",F57)),ISNUMBER(SEARCH("Giám đốc",F57))),2,0)+IF(OR(H57="200–499",H57="500–999",H57="1.000+"),1,0)</x:f>
        <x:v>-5</x:v>
      </x:c>
      <x:c r="S57" s="33"/>
      <x:c r="T57" s="33"/>
      <x:c r="U57" s="33"/>
      <x:c r="V57" s="33"/>
    </x:row>
    <x:row r="58">
      <x:c r="A58" s="35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4" t="n">
        <x:f>IF(D58="",-3,0)+IF(OR(ISNUMBER(SEARCH("Biên Hòa",J58)),ISNUMBER(SEARCH("Long Thành",J58)),ISNUMBER(SEARCH("Nhơn Trạch",J58)),ISNUMBER(SEARCH("AMATA",J58)),ISNUMBER(SEARCH("Tam Phước",J58)),ISNUMBER(SEARCH("Giang Điền",J58))),3,-2)+IF(OR(I58="Hằng ngày",I58="2–3 lần/tuần"),3,0)+IF(L58="Có",2,0)+IF(K58&lt;&gt;"",2,0)+IF(OR(ISNUMBER(SEARCH("Thu mua",F58)),ISNUMBER(SEARCH("Quản lý",F58)),ISNUMBER(SEARCH("Giám đốc",F58))),2,0)+IF(OR(H58="200–499",H58="500–999",H58="1.000+"),1,0)</x:f>
        <x:v>-5</x:v>
      </x:c>
      <x:c r="S58" s="33"/>
      <x:c r="T58" s="33"/>
      <x:c r="U58" s="33"/>
      <x:c r="V58" s="33"/>
    </x:row>
    <x:row r="59">
      <x:c r="A59" s="35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4" t="n">
        <x:f>IF(D59="",-3,0)+IF(OR(ISNUMBER(SEARCH("Biên Hòa",J59)),ISNUMBER(SEARCH("Long Thành",J59)),ISNUMBER(SEARCH("Nhơn Trạch",J59)),ISNUMBER(SEARCH("AMATA",J59)),ISNUMBER(SEARCH("Tam Phước",J59)),ISNUMBER(SEARCH("Giang Điền",J59))),3,-2)+IF(OR(I59="Hằng ngày",I59="2–3 lần/tuần"),3,0)+IF(L59="Có",2,0)+IF(K59&lt;&gt;"",2,0)+IF(OR(ISNUMBER(SEARCH("Thu mua",F59)),ISNUMBER(SEARCH("Quản lý",F59)),ISNUMBER(SEARCH("Giám đốc",F59))),2,0)+IF(OR(H59="200–499",H59="500–999",H59="1.000+"),1,0)</x:f>
        <x:v>-5</x:v>
      </x:c>
      <x:c r="S59" s="33"/>
      <x:c r="T59" s="33"/>
      <x:c r="U59" s="33"/>
      <x:c r="V59" s="33"/>
    </x:row>
    <x:row r="60">
      <x:c r="A60" s="35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4" t="n">
        <x:f>IF(D60="",-3,0)+IF(OR(ISNUMBER(SEARCH("Biên Hòa",J60)),ISNUMBER(SEARCH("Long Thành",J60)),ISNUMBER(SEARCH("Nhơn Trạch",J60)),ISNUMBER(SEARCH("AMATA",J60)),ISNUMBER(SEARCH("Tam Phước",J60)),ISNUMBER(SEARCH("Giang Điền",J60))),3,-2)+IF(OR(I60="Hằng ngày",I60="2–3 lần/tuần"),3,0)+IF(L60="Có",2,0)+IF(K60&lt;&gt;"",2,0)+IF(OR(ISNUMBER(SEARCH("Thu mua",F60)),ISNUMBER(SEARCH("Quản lý",F60)),ISNUMBER(SEARCH("Giám đốc",F60))),2,0)+IF(OR(H60="200–499",H60="500–999",H60="1.000+"),1,0)</x:f>
        <x:v>-5</x:v>
      </x:c>
      <x:c r="S60" s="33"/>
      <x:c r="T60" s="33"/>
      <x:c r="U60" s="33"/>
      <x:c r="V60" s="33"/>
    </x:row>
    <x:row r="61">
      <x:c r="A61" s="35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4" t="n">
        <x:f>IF(D61="",-3,0)+IF(OR(ISNUMBER(SEARCH("Biên Hòa",J61)),ISNUMBER(SEARCH("Long Thành",J61)),ISNUMBER(SEARCH("Nhơn Trạch",J61)),ISNUMBER(SEARCH("AMATA",J61)),ISNUMBER(SEARCH("Tam Phước",J61)),ISNUMBER(SEARCH("Giang Điền",J61))),3,-2)+IF(OR(I61="Hằng ngày",I61="2–3 lần/tuần"),3,0)+IF(L61="Có",2,0)+IF(K61&lt;&gt;"",2,0)+IF(OR(ISNUMBER(SEARCH("Thu mua",F61)),ISNUMBER(SEARCH("Quản lý",F61)),ISNUMBER(SEARCH("Giám đốc",F61))),2,0)+IF(OR(H61="200–499",H61="500–999",H61="1.000+"),1,0)</x:f>
        <x:v>-5</x:v>
      </x:c>
      <x:c r="S61" s="33"/>
      <x:c r="T61" s="33"/>
      <x:c r="U61" s="33"/>
      <x:c r="V61" s="33"/>
    </x:row>
    <x:row r="62">
      <x:c r="A62" s="35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4" t="n">
        <x:f>IF(D62="",-3,0)+IF(OR(ISNUMBER(SEARCH("Biên Hòa",J62)),ISNUMBER(SEARCH("Long Thành",J62)),ISNUMBER(SEARCH("Nhơn Trạch",J62)),ISNUMBER(SEARCH("AMATA",J62)),ISNUMBER(SEARCH("Tam Phước",J62)),ISNUMBER(SEARCH("Giang Điền",J62))),3,-2)+IF(OR(I62="Hằng ngày",I62="2–3 lần/tuần"),3,0)+IF(L62="Có",2,0)+IF(K62&lt;&gt;"",2,0)+IF(OR(ISNUMBER(SEARCH("Thu mua",F62)),ISNUMBER(SEARCH("Quản lý",F62)),ISNUMBER(SEARCH("Giám đốc",F62))),2,0)+IF(OR(H62="200–499",H62="500–999",H62="1.000+"),1,0)</x:f>
        <x:v>-5</x:v>
      </x:c>
      <x:c r="S62" s="33"/>
      <x:c r="T62" s="33"/>
      <x:c r="U62" s="33"/>
      <x:c r="V62" s="33"/>
    </x:row>
    <x:row r="63">
      <x:c r="A63" s="35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4" t="n">
        <x:f>IF(D63="",-3,0)+IF(OR(ISNUMBER(SEARCH("Biên Hòa",J63)),ISNUMBER(SEARCH("Long Thành",J63)),ISNUMBER(SEARCH("Nhơn Trạch",J63)),ISNUMBER(SEARCH("AMATA",J63)),ISNUMBER(SEARCH("Tam Phước",J63)),ISNUMBER(SEARCH("Giang Điền",J63))),3,-2)+IF(OR(I63="Hằng ngày",I63="2–3 lần/tuần"),3,0)+IF(L63="Có",2,0)+IF(K63&lt;&gt;"",2,0)+IF(OR(ISNUMBER(SEARCH("Thu mua",F63)),ISNUMBER(SEARCH("Quản lý",F63)),ISNUMBER(SEARCH("Giám đốc",F63))),2,0)+IF(OR(H63="200–499",H63="500–999",H63="1.000+"),1,0)</x:f>
        <x:v>-5</x:v>
      </x:c>
      <x:c r="S63" s="33"/>
      <x:c r="T63" s="33"/>
      <x:c r="U63" s="33"/>
      <x:c r="V63" s="33"/>
    </x:row>
    <x:row r="64">
      <x:c r="A64" s="35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4" t="n">
        <x:f>IF(D64="",-3,0)+IF(OR(ISNUMBER(SEARCH("Biên Hòa",J64)),ISNUMBER(SEARCH("Long Thành",J64)),ISNUMBER(SEARCH("Nhơn Trạch",J64)),ISNUMBER(SEARCH("AMATA",J64)),ISNUMBER(SEARCH("Tam Phước",J64)),ISNUMBER(SEARCH("Giang Điền",J64))),3,-2)+IF(OR(I64="Hằng ngày",I64="2–3 lần/tuần"),3,0)+IF(L64="Có",2,0)+IF(K64&lt;&gt;"",2,0)+IF(OR(ISNUMBER(SEARCH("Thu mua",F64)),ISNUMBER(SEARCH("Quản lý",F64)),ISNUMBER(SEARCH("Giám đốc",F64))),2,0)+IF(OR(H64="200–499",H64="500–999",H64="1.000+"),1,0)</x:f>
        <x:v>-5</x:v>
      </x:c>
      <x:c r="S64" s="33"/>
      <x:c r="T64" s="33"/>
      <x:c r="U64" s="33"/>
      <x:c r="V64" s="33"/>
    </x:row>
    <x:row r="65">
      <x:c r="A65" s="35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4" t="n">
        <x:f>IF(D65="",-3,0)+IF(OR(ISNUMBER(SEARCH("Biên Hòa",J65)),ISNUMBER(SEARCH("Long Thành",J65)),ISNUMBER(SEARCH("Nhơn Trạch",J65)),ISNUMBER(SEARCH("AMATA",J65)),ISNUMBER(SEARCH("Tam Phước",J65)),ISNUMBER(SEARCH("Giang Điền",J65))),3,-2)+IF(OR(I65="Hằng ngày",I65="2–3 lần/tuần"),3,0)+IF(L65="Có",2,0)+IF(K65&lt;&gt;"",2,0)+IF(OR(ISNUMBER(SEARCH("Thu mua",F65)),ISNUMBER(SEARCH("Quản lý",F65)),ISNUMBER(SEARCH("Giám đốc",F65))),2,0)+IF(OR(H65="200–499",H65="500–999",H65="1.000+"),1,0)</x:f>
        <x:v>-5</x:v>
      </x:c>
      <x:c r="S65" s="33"/>
      <x:c r="T65" s="33"/>
      <x:c r="U65" s="33"/>
      <x:c r="V65" s="33"/>
    </x:row>
    <x:row r="66">
      <x:c r="A66" s="35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4" t="n">
        <x:f>IF(D66="",-3,0)+IF(OR(ISNUMBER(SEARCH("Biên Hòa",J66)),ISNUMBER(SEARCH("Long Thành",J66)),ISNUMBER(SEARCH("Nhơn Trạch",J66)),ISNUMBER(SEARCH("AMATA",J66)),ISNUMBER(SEARCH("Tam Phước",J66)),ISNUMBER(SEARCH("Giang Điền",J66))),3,-2)+IF(OR(I66="Hằng ngày",I66="2–3 lần/tuần"),3,0)+IF(L66="Có",2,0)+IF(K66&lt;&gt;"",2,0)+IF(OR(ISNUMBER(SEARCH("Thu mua",F66)),ISNUMBER(SEARCH("Quản lý",F66)),ISNUMBER(SEARCH("Giám đốc",F66))),2,0)+IF(OR(H66="200–499",H66="500–999",H66="1.000+"),1,0)</x:f>
        <x:v>-5</x:v>
      </x:c>
      <x:c r="S66" s="33"/>
      <x:c r="T66" s="33"/>
      <x:c r="U66" s="33"/>
      <x:c r="V66" s="33"/>
    </x:row>
    <x:row r="67">
      <x:c r="A67" s="35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4" t="n">
        <x:f>IF(D67="",-3,0)+IF(OR(ISNUMBER(SEARCH("Biên Hòa",J67)),ISNUMBER(SEARCH("Long Thành",J67)),ISNUMBER(SEARCH("Nhơn Trạch",J67)),ISNUMBER(SEARCH("AMATA",J67)),ISNUMBER(SEARCH("Tam Phước",J67)),ISNUMBER(SEARCH("Giang Điền",J67))),3,-2)+IF(OR(I67="Hằng ngày",I67="2–3 lần/tuần"),3,0)+IF(L67="Có",2,0)+IF(K67&lt;&gt;"",2,0)+IF(OR(ISNUMBER(SEARCH("Thu mua",F67)),ISNUMBER(SEARCH("Quản lý",F67)),ISNUMBER(SEARCH("Giám đốc",F67))),2,0)+IF(OR(H67="200–499",H67="500–999",H67="1.000+"),1,0)</x:f>
        <x:v>-5</x:v>
      </x:c>
      <x:c r="S67" s="33"/>
      <x:c r="T67" s="33"/>
      <x:c r="U67" s="33"/>
      <x:c r="V67" s="33"/>
    </x:row>
    <x:row r="68">
      <x:c r="A68" s="35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4" t="n">
        <x:f>IF(D68="",-3,0)+IF(OR(ISNUMBER(SEARCH("Biên Hòa",J68)),ISNUMBER(SEARCH("Long Thành",J68)),ISNUMBER(SEARCH("Nhơn Trạch",J68)),ISNUMBER(SEARCH("AMATA",J68)),ISNUMBER(SEARCH("Tam Phước",J68)),ISNUMBER(SEARCH("Giang Điền",J68))),3,-2)+IF(OR(I68="Hằng ngày",I68="2–3 lần/tuần"),3,0)+IF(L68="Có",2,0)+IF(K68&lt;&gt;"",2,0)+IF(OR(ISNUMBER(SEARCH("Thu mua",F68)),ISNUMBER(SEARCH("Quản lý",F68)),ISNUMBER(SEARCH("Giám đốc",F68))),2,0)+IF(OR(H68="200–499",H68="500–999",H68="1.000+"),1,0)</x:f>
        <x:v>-5</x:v>
      </x:c>
      <x:c r="S68" s="33"/>
      <x:c r="T68" s="33"/>
      <x:c r="U68" s="33"/>
      <x:c r="V68" s="33"/>
    </x:row>
    <x:row r="69">
      <x:c r="A69" s="35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4" t="n">
        <x:f>IF(D69="",-3,0)+IF(OR(ISNUMBER(SEARCH("Biên Hòa",J69)),ISNUMBER(SEARCH("Long Thành",J69)),ISNUMBER(SEARCH("Nhơn Trạch",J69)),ISNUMBER(SEARCH("AMATA",J69)),ISNUMBER(SEARCH("Tam Phước",J69)),ISNUMBER(SEARCH("Giang Điền",J69))),3,-2)+IF(OR(I69="Hằng ngày",I69="2–3 lần/tuần"),3,0)+IF(L69="Có",2,0)+IF(K69&lt;&gt;"",2,0)+IF(OR(ISNUMBER(SEARCH("Thu mua",F69)),ISNUMBER(SEARCH("Quản lý",F69)),ISNUMBER(SEARCH("Giám đốc",F69))),2,0)+IF(OR(H69="200–499",H69="500–999",H69="1.000+"),1,0)</x:f>
        <x:v>-5</x:v>
      </x:c>
      <x:c r="S69" s="33"/>
      <x:c r="T69" s="33"/>
      <x:c r="U69" s="33"/>
      <x:c r="V69" s="33"/>
    </x:row>
    <x:row r="70">
      <x:c r="A70" s="35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4" t="n">
        <x:f>IF(D70="",-3,0)+IF(OR(ISNUMBER(SEARCH("Biên Hòa",J70)),ISNUMBER(SEARCH("Long Thành",J70)),ISNUMBER(SEARCH("Nhơn Trạch",J70)),ISNUMBER(SEARCH("AMATA",J70)),ISNUMBER(SEARCH("Tam Phước",J70)),ISNUMBER(SEARCH("Giang Điền",J70))),3,-2)+IF(OR(I70="Hằng ngày",I70="2–3 lần/tuần"),3,0)+IF(L70="Có",2,0)+IF(K70&lt;&gt;"",2,0)+IF(OR(ISNUMBER(SEARCH("Thu mua",F70)),ISNUMBER(SEARCH("Quản lý",F70)),ISNUMBER(SEARCH("Giám đốc",F70))),2,0)+IF(OR(H70="200–499",H70="500–999",H70="1.000+"),1,0)</x:f>
        <x:v>-5</x:v>
      </x:c>
      <x:c r="S70" s="33"/>
      <x:c r="T70" s="33"/>
      <x:c r="U70" s="33"/>
      <x:c r="V70" s="33"/>
    </x:row>
    <x:row r="71">
      <x:c r="A71" s="35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4" t="n">
        <x:f>IF(D71="",-3,0)+IF(OR(ISNUMBER(SEARCH("Biên Hòa",J71)),ISNUMBER(SEARCH("Long Thành",J71)),ISNUMBER(SEARCH("Nhơn Trạch",J71)),ISNUMBER(SEARCH("AMATA",J71)),ISNUMBER(SEARCH("Tam Phước",J71)),ISNUMBER(SEARCH("Giang Điền",J71))),3,-2)+IF(OR(I71="Hằng ngày",I71="2–3 lần/tuần"),3,0)+IF(L71="Có",2,0)+IF(K71&lt;&gt;"",2,0)+IF(OR(ISNUMBER(SEARCH("Thu mua",F71)),ISNUMBER(SEARCH("Quản lý",F71)),ISNUMBER(SEARCH("Giám đốc",F71))),2,0)+IF(OR(H71="200–499",H71="500–999",H71="1.000+"),1,0)</x:f>
        <x:v>-5</x:v>
      </x:c>
      <x:c r="S71" s="33"/>
      <x:c r="T71" s="33"/>
      <x:c r="U71" s="33"/>
      <x:c r="V71" s="33"/>
    </x:row>
    <x:row r="72">
      <x:c r="A72" s="35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4" t="n">
        <x:f>IF(D72="",-3,0)+IF(OR(ISNUMBER(SEARCH("Biên Hòa",J72)),ISNUMBER(SEARCH("Long Thành",J72)),ISNUMBER(SEARCH("Nhơn Trạch",J72)),ISNUMBER(SEARCH("AMATA",J72)),ISNUMBER(SEARCH("Tam Phước",J72)),ISNUMBER(SEARCH("Giang Điền",J72))),3,-2)+IF(OR(I72="Hằng ngày",I72="2–3 lần/tuần"),3,0)+IF(L72="Có",2,0)+IF(K72&lt;&gt;"",2,0)+IF(OR(ISNUMBER(SEARCH("Thu mua",F72)),ISNUMBER(SEARCH("Quản lý",F72)),ISNUMBER(SEARCH("Giám đốc",F72))),2,0)+IF(OR(H72="200–499",H72="500–999",H72="1.000+"),1,0)</x:f>
        <x:v>-5</x:v>
      </x:c>
      <x:c r="S72" s="33"/>
      <x:c r="T72" s="33"/>
      <x:c r="U72" s="33"/>
      <x:c r="V72" s="33"/>
    </x:row>
    <x:row r="73">
      <x:c r="A73" s="35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4" t="n">
        <x:f>IF(D73="",-3,0)+IF(OR(ISNUMBER(SEARCH("Biên Hòa",J73)),ISNUMBER(SEARCH("Long Thành",J73)),ISNUMBER(SEARCH("Nhơn Trạch",J73)),ISNUMBER(SEARCH("AMATA",J73)),ISNUMBER(SEARCH("Tam Phước",J73)),ISNUMBER(SEARCH("Giang Điền",J73))),3,-2)+IF(OR(I73="Hằng ngày",I73="2–3 lần/tuần"),3,0)+IF(L73="Có",2,0)+IF(K73&lt;&gt;"",2,0)+IF(OR(ISNUMBER(SEARCH("Thu mua",F73)),ISNUMBER(SEARCH("Quản lý",F73)),ISNUMBER(SEARCH("Giám đốc",F73))),2,0)+IF(OR(H73="200–499",H73="500–999",H73="1.000+"),1,0)</x:f>
        <x:v>-5</x:v>
      </x:c>
      <x:c r="S73" s="33"/>
      <x:c r="T73" s="33"/>
      <x:c r="U73" s="33"/>
      <x:c r="V73" s="33"/>
    </x:row>
    <x:row r="74">
      <x:c r="A74" s="35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4" t="n">
        <x:f>IF(D74="",-3,0)+IF(OR(ISNUMBER(SEARCH("Biên Hòa",J74)),ISNUMBER(SEARCH("Long Thành",J74)),ISNUMBER(SEARCH("Nhơn Trạch",J74)),ISNUMBER(SEARCH("AMATA",J74)),ISNUMBER(SEARCH("Tam Phước",J74)),ISNUMBER(SEARCH("Giang Điền",J74))),3,-2)+IF(OR(I74="Hằng ngày",I74="2–3 lần/tuần"),3,0)+IF(L74="Có",2,0)+IF(K74&lt;&gt;"",2,0)+IF(OR(ISNUMBER(SEARCH("Thu mua",F74)),ISNUMBER(SEARCH("Quản lý",F74)),ISNUMBER(SEARCH("Giám đốc",F74))),2,0)+IF(OR(H74="200–499",H74="500–999",H74="1.000+"),1,0)</x:f>
        <x:v>-5</x:v>
      </x:c>
      <x:c r="S74" s="33"/>
      <x:c r="T74" s="33"/>
      <x:c r="U74" s="33"/>
      <x:c r="V74" s="33"/>
    </x:row>
    <x:row r="75">
      <x:c r="A75" s="35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4" t="n">
        <x:f>IF(D75="",-3,0)+IF(OR(ISNUMBER(SEARCH("Biên Hòa",J75)),ISNUMBER(SEARCH("Long Thành",J75)),ISNUMBER(SEARCH("Nhơn Trạch",J75)),ISNUMBER(SEARCH("AMATA",J75)),ISNUMBER(SEARCH("Tam Phước",J75)),ISNUMBER(SEARCH("Giang Điền",J75))),3,-2)+IF(OR(I75="Hằng ngày",I75="2–3 lần/tuần"),3,0)+IF(L75="Có",2,0)+IF(K75&lt;&gt;"",2,0)+IF(OR(ISNUMBER(SEARCH("Thu mua",F75)),ISNUMBER(SEARCH("Quản lý",F75)),ISNUMBER(SEARCH("Giám đốc",F75))),2,0)+IF(OR(H75="200–499",H75="500–999",H75="1.000+"),1,0)</x:f>
        <x:v>-5</x:v>
      </x:c>
      <x:c r="S75" s="33"/>
      <x:c r="T75" s="33"/>
      <x:c r="U75" s="33"/>
      <x:c r="V75" s="33"/>
    </x:row>
    <x:row r="76">
      <x:c r="A76" s="35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4" t="n">
        <x:f>IF(D76="",-3,0)+IF(OR(ISNUMBER(SEARCH("Biên Hòa",J76)),ISNUMBER(SEARCH("Long Thành",J76)),ISNUMBER(SEARCH("Nhơn Trạch",J76)),ISNUMBER(SEARCH("AMATA",J76)),ISNUMBER(SEARCH("Tam Phước",J76)),ISNUMBER(SEARCH("Giang Điền",J76))),3,-2)+IF(OR(I76="Hằng ngày",I76="2–3 lần/tuần"),3,0)+IF(L76="Có",2,0)+IF(K76&lt;&gt;"",2,0)+IF(OR(ISNUMBER(SEARCH("Thu mua",F76)),ISNUMBER(SEARCH("Quản lý",F76)),ISNUMBER(SEARCH("Giám đốc",F76))),2,0)+IF(OR(H76="200–499",H76="500–999",H76="1.000+"),1,0)</x:f>
        <x:v>-5</x:v>
      </x:c>
      <x:c r="S76" s="33"/>
      <x:c r="T76" s="33"/>
      <x:c r="U76" s="33"/>
      <x:c r="V76" s="33"/>
    </x:row>
    <x:row r="77">
      <x:c r="A77" s="35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4" t="n">
        <x:f>IF(D77="",-3,0)+IF(OR(ISNUMBER(SEARCH("Biên Hòa",J77)),ISNUMBER(SEARCH("Long Thành",J77)),ISNUMBER(SEARCH("Nhơn Trạch",J77)),ISNUMBER(SEARCH("AMATA",J77)),ISNUMBER(SEARCH("Tam Phước",J77)),ISNUMBER(SEARCH("Giang Điền",J77))),3,-2)+IF(OR(I77="Hằng ngày",I77="2–3 lần/tuần"),3,0)+IF(L77="Có",2,0)+IF(K77&lt;&gt;"",2,0)+IF(OR(ISNUMBER(SEARCH("Thu mua",F77)),ISNUMBER(SEARCH("Quản lý",F77)),ISNUMBER(SEARCH("Giám đốc",F77))),2,0)+IF(OR(H77="200–499",H77="500–999",H77="1.000+"),1,0)</x:f>
        <x:v>-5</x:v>
      </x:c>
      <x:c r="S77" s="33"/>
      <x:c r="T77" s="33"/>
      <x:c r="U77" s="33"/>
      <x:c r="V77" s="33"/>
    </x:row>
    <x:row r="78">
      <x:c r="A78" s="35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4" t="n">
        <x:f>IF(D78="",-3,0)+IF(OR(ISNUMBER(SEARCH("Biên Hòa",J78)),ISNUMBER(SEARCH("Long Thành",J78)),ISNUMBER(SEARCH("Nhơn Trạch",J78)),ISNUMBER(SEARCH("AMATA",J78)),ISNUMBER(SEARCH("Tam Phước",J78)),ISNUMBER(SEARCH("Giang Điền",J78))),3,-2)+IF(OR(I78="Hằng ngày",I78="2–3 lần/tuần"),3,0)+IF(L78="Có",2,0)+IF(K78&lt;&gt;"",2,0)+IF(OR(ISNUMBER(SEARCH("Thu mua",F78)),ISNUMBER(SEARCH("Quản lý",F78)),ISNUMBER(SEARCH("Giám đốc",F78))),2,0)+IF(OR(H78="200–499",H78="500–999",H78="1.000+"),1,0)</x:f>
        <x:v>-5</x:v>
      </x:c>
      <x:c r="S78" s="33"/>
      <x:c r="T78" s="33"/>
      <x:c r="U78" s="33"/>
      <x:c r="V78" s="33"/>
    </x:row>
    <x:row r="79">
      <x:c r="A79" s="35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4" t="n">
        <x:f>IF(D79="",-3,0)+IF(OR(ISNUMBER(SEARCH("Biên Hòa",J79)),ISNUMBER(SEARCH("Long Thành",J79)),ISNUMBER(SEARCH("Nhơn Trạch",J79)),ISNUMBER(SEARCH("AMATA",J79)),ISNUMBER(SEARCH("Tam Phước",J79)),ISNUMBER(SEARCH("Giang Điền",J79))),3,-2)+IF(OR(I79="Hằng ngày",I79="2–3 lần/tuần"),3,0)+IF(L79="Có",2,0)+IF(K79&lt;&gt;"",2,0)+IF(OR(ISNUMBER(SEARCH("Thu mua",F79)),ISNUMBER(SEARCH("Quản lý",F79)),ISNUMBER(SEARCH("Giám đốc",F79))),2,0)+IF(OR(H79="200–499",H79="500–999",H79="1.000+"),1,0)</x:f>
        <x:v>-5</x:v>
      </x:c>
      <x:c r="S79" s="33"/>
      <x:c r="T79" s="33"/>
      <x:c r="U79" s="33"/>
      <x:c r="V79" s="33"/>
    </x:row>
    <x:row r="80">
      <x:c r="A80" s="35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4" t="n">
        <x:f>IF(D80="",-3,0)+IF(OR(ISNUMBER(SEARCH("Biên Hòa",J80)),ISNUMBER(SEARCH("Long Thành",J80)),ISNUMBER(SEARCH("Nhơn Trạch",J80)),ISNUMBER(SEARCH("AMATA",J80)),ISNUMBER(SEARCH("Tam Phước",J80)),ISNUMBER(SEARCH("Giang Điền",J80))),3,-2)+IF(OR(I80="Hằng ngày",I80="2–3 lần/tuần"),3,0)+IF(L80="Có",2,0)+IF(K80&lt;&gt;"",2,0)+IF(OR(ISNUMBER(SEARCH("Thu mua",F80)),ISNUMBER(SEARCH("Quản lý",F80)),ISNUMBER(SEARCH("Giám đốc",F80))),2,0)+IF(OR(H80="200–499",H80="500–999",H80="1.000+"),1,0)</x:f>
        <x:v>-5</x:v>
      </x:c>
      <x:c r="S80" s="33"/>
      <x:c r="T80" s="33"/>
      <x:c r="U80" s="33"/>
      <x:c r="V80" s="33"/>
    </x:row>
    <x:row r="81">
      <x:c r="A81" s="35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4" t="n">
        <x:f>IF(D81="",-3,0)+IF(OR(ISNUMBER(SEARCH("Biên Hòa",J81)),ISNUMBER(SEARCH("Long Thành",J81)),ISNUMBER(SEARCH("Nhơn Trạch",J81)),ISNUMBER(SEARCH("AMATA",J81)),ISNUMBER(SEARCH("Tam Phước",J81)),ISNUMBER(SEARCH("Giang Điền",J81))),3,-2)+IF(OR(I81="Hằng ngày",I81="2–3 lần/tuần"),3,0)+IF(L81="Có",2,0)+IF(K81&lt;&gt;"",2,0)+IF(OR(ISNUMBER(SEARCH("Thu mua",F81)),ISNUMBER(SEARCH("Quản lý",F81)),ISNUMBER(SEARCH("Giám đốc",F81))),2,0)+IF(OR(H81="200–499",H81="500–999",H81="1.000+"),1,0)</x:f>
        <x:v>-5</x:v>
      </x:c>
      <x:c r="S81" s="33"/>
      <x:c r="T81" s="33"/>
      <x:c r="U81" s="33"/>
      <x:c r="V81" s="33"/>
    </x:row>
    <x:row r="82">
      <x:c r="A82" s="35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4" t="n">
        <x:f>IF(D82="",-3,0)+IF(OR(ISNUMBER(SEARCH("Biên Hòa",J82)),ISNUMBER(SEARCH("Long Thành",J82)),ISNUMBER(SEARCH("Nhơn Trạch",J82)),ISNUMBER(SEARCH("AMATA",J82)),ISNUMBER(SEARCH("Tam Phước",J82)),ISNUMBER(SEARCH("Giang Điền",J82))),3,-2)+IF(OR(I82="Hằng ngày",I82="2–3 lần/tuần"),3,0)+IF(L82="Có",2,0)+IF(K82&lt;&gt;"",2,0)+IF(OR(ISNUMBER(SEARCH("Thu mua",F82)),ISNUMBER(SEARCH("Quản lý",F82)),ISNUMBER(SEARCH("Giám đốc",F82))),2,0)+IF(OR(H82="200–499",H82="500–999",H82="1.000+"),1,0)</x:f>
        <x:v>-5</x:v>
      </x:c>
      <x:c r="S82" s="33"/>
      <x:c r="T82" s="33"/>
      <x:c r="U82" s="33"/>
      <x:c r="V82" s="33"/>
    </x:row>
    <x:row r="83">
      <x:c r="A83" s="35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4" t="n">
        <x:f>IF(D83="",-3,0)+IF(OR(ISNUMBER(SEARCH("Biên Hòa",J83)),ISNUMBER(SEARCH("Long Thành",J83)),ISNUMBER(SEARCH("Nhơn Trạch",J83)),ISNUMBER(SEARCH("AMATA",J83)),ISNUMBER(SEARCH("Tam Phước",J83)),ISNUMBER(SEARCH("Giang Điền",J83))),3,-2)+IF(OR(I83="Hằng ngày",I83="2–3 lần/tuần"),3,0)+IF(L83="Có",2,0)+IF(K83&lt;&gt;"",2,0)+IF(OR(ISNUMBER(SEARCH("Thu mua",F83)),ISNUMBER(SEARCH("Quản lý",F83)),ISNUMBER(SEARCH("Giám đốc",F83))),2,0)+IF(OR(H83="200–499",H83="500–999",H83="1.000+"),1,0)</x:f>
        <x:v>-5</x:v>
      </x:c>
      <x:c r="S83" s="33"/>
      <x:c r="T83" s="33"/>
      <x:c r="U83" s="33"/>
      <x:c r="V83" s="33"/>
    </x:row>
    <x:row r="84">
      <x:c r="A84" s="35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4" t="n">
        <x:f>IF(D84="",-3,0)+IF(OR(ISNUMBER(SEARCH("Biên Hòa",J84)),ISNUMBER(SEARCH("Long Thành",J84)),ISNUMBER(SEARCH("Nhơn Trạch",J84)),ISNUMBER(SEARCH("AMATA",J84)),ISNUMBER(SEARCH("Tam Phước",J84)),ISNUMBER(SEARCH("Giang Điền",J84))),3,-2)+IF(OR(I84="Hằng ngày",I84="2–3 lần/tuần"),3,0)+IF(L84="Có",2,0)+IF(K84&lt;&gt;"",2,0)+IF(OR(ISNUMBER(SEARCH("Thu mua",F84)),ISNUMBER(SEARCH("Quản lý",F84)),ISNUMBER(SEARCH("Giám đốc",F84))),2,0)+IF(OR(H84="200–499",H84="500–999",H84="1.000+"),1,0)</x:f>
        <x:v>-5</x:v>
      </x:c>
      <x:c r="S84" s="33"/>
      <x:c r="T84" s="33"/>
      <x:c r="U84" s="33"/>
      <x:c r="V84" s="33"/>
    </x:row>
    <x:row r="85">
      <x:c r="A85" s="35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4" t="n">
        <x:f>IF(D85="",-3,0)+IF(OR(ISNUMBER(SEARCH("Biên Hòa",J85)),ISNUMBER(SEARCH("Long Thành",J85)),ISNUMBER(SEARCH("Nhơn Trạch",J85)),ISNUMBER(SEARCH("AMATA",J85)),ISNUMBER(SEARCH("Tam Phước",J85)),ISNUMBER(SEARCH("Giang Điền",J85))),3,-2)+IF(OR(I85="Hằng ngày",I85="2–3 lần/tuần"),3,0)+IF(L85="Có",2,0)+IF(K85&lt;&gt;"",2,0)+IF(OR(ISNUMBER(SEARCH("Thu mua",F85)),ISNUMBER(SEARCH("Quản lý",F85)),ISNUMBER(SEARCH("Giám đốc",F85))),2,0)+IF(OR(H85="200–499",H85="500–999",H85="1.000+"),1,0)</x:f>
        <x:v>-5</x:v>
      </x:c>
      <x:c r="S85" s="33"/>
      <x:c r="T85" s="33"/>
      <x:c r="U85" s="33"/>
      <x:c r="V85" s="33"/>
    </x:row>
    <x:row r="86">
      <x:c r="A86" s="35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4" t="n">
        <x:f>IF(D86="",-3,0)+IF(OR(ISNUMBER(SEARCH("Biên Hòa",J86)),ISNUMBER(SEARCH("Long Thành",J86)),ISNUMBER(SEARCH("Nhơn Trạch",J86)),ISNUMBER(SEARCH("AMATA",J86)),ISNUMBER(SEARCH("Tam Phước",J86)),ISNUMBER(SEARCH("Giang Điền",J86))),3,-2)+IF(OR(I86="Hằng ngày",I86="2–3 lần/tuần"),3,0)+IF(L86="Có",2,0)+IF(K86&lt;&gt;"",2,0)+IF(OR(ISNUMBER(SEARCH("Thu mua",F86)),ISNUMBER(SEARCH("Quản lý",F86)),ISNUMBER(SEARCH("Giám đốc",F86))),2,0)+IF(OR(H86="200–499",H86="500–999",H86="1.000+"),1,0)</x:f>
        <x:v>-5</x:v>
      </x:c>
      <x:c r="S86" s="33"/>
      <x:c r="T86" s="33"/>
      <x:c r="U86" s="33"/>
      <x:c r="V86" s="33"/>
    </x:row>
    <x:row r="87">
      <x:c r="A87" s="35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4" t="n">
        <x:f>IF(D87="",-3,0)+IF(OR(ISNUMBER(SEARCH("Biên Hòa",J87)),ISNUMBER(SEARCH("Long Thành",J87)),ISNUMBER(SEARCH("Nhơn Trạch",J87)),ISNUMBER(SEARCH("AMATA",J87)),ISNUMBER(SEARCH("Tam Phước",J87)),ISNUMBER(SEARCH("Giang Điền",J87))),3,-2)+IF(OR(I87="Hằng ngày",I87="2–3 lần/tuần"),3,0)+IF(L87="Có",2,0)+IF(K87&lt;&gt;"",2,0)+IF(OR(ISNUMBER(SEARCH("Thu mua",F87)),ISNUMBER(SEARCH("Quản lý",F87)),ISNUMBER(SEARCH("Giám đốc",F87))),2,0)+IF(OR(H87="200–499",H87="500–999",H87="1.000+"),1,0)</x:f>
        <x:v>-5</x:v>
      </x:c>
      <x:c r="S87" s="33"/>
      <x:c r="T87" s="33"/>
      <x:c r="U87" s="33"/>
      <x:c r="V87" s="33"/>
    </x:row>
    <x:row r="88">
      <x:c r="A88" s="35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4" t="n">
        <x:f>IF(D88="",-3,0)+IF(OR(ISNUMBER(SEARCH("Biên Hòa",J88)),ISNUMBER(SEARCH("Long Thành",J88)),ISNUMBER(SEARCH("Nhơn Trạch",J88)),ISNUMBER(SEARCH("AMATA",J88)),ISNUMBER(SEARCH("Tam Phước",J88)),ISNUMBER(SEARCH("Giang Điền",J88))),3,-2)+IF(OR(I88="Hằng ngày",I88="2–3 lần/tuần"),3,0)+IF(L88="Có",2,0)+IF(K88&lt;&gt;"",2,0)+IF(OR(ISNUMBER(SEARCH("Thu mua",F88)),ISNUMBER(SEARCH("Quản lý",F88)),ISNUMBER(SEARCH("Giám đốc",F88))),2,0)+IF(OR(H88="200–499",H88="500–999",H88="1.000+"),1,0)</x:f>
        <x:v>-5</x:v>
      </x:c>
      <x:c r="S88" s="33"/>
      <x:c r="T88" s="33"/>
      <x:c r="U88" s="33"/>
      <x:c r="V88" s="33"/>
    </x:row>
    <x:row r="89">
      <x:c r="A89" s="35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4" t="n">
        <x:f>IF(D89="",-3,0)+IF(OR(ISNUMBER(SEARCH("Biên Hòa",J89)),ISNUMBER(SEARCH("Long Thành",J89)),ISNUMBER(SEARCH("Nhơn Trạch",J89)),ISNUMBER(SEARCH("AMATA",J89)),ISNUMBER(SEARCH("Tam Phước",J89)),ISNUMBER(SEARCH("Giang Điền",J89))),3,-2)+IF(OR(I89="Hằng ngày",I89="2–3 lần/tuần"),3,0)+IF(L89="Có",2,0)+IF(K89&lt;&gt;"",2,0)+IF(OR(ISNUMBER(SEARCH("Thu mua",F89)),ISNUMBER(SEARCH("Quản lý",F89)),ISNUMBER(SEARCH("Giám đốc",F89))),2,0)+IF(OR(H89="200–499",H89="500–999",H89="1.000+"),1,0)</x:f>
        <x:v>-5</x:v>
      </x:c>
      <x:c r="S89" s="33"/>
      <x:c r="T89" s="33"/>
      <x:c r="U89" s="33"/>
      <x:c r="V89" s="33"/>
    </x:row>
    <x:row r="90">
      <x:c r="A90" s="35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4" t="n">
        <x:f>IF(D90="",-3,0)+IF(OR(ISNUMBER(SEARCH("Biên Hòa",J90)),ISNUMBER(SEARCH("Long Thành",J90)),ISNUMBER(SEARCH("Nhơn Trạch",J90)),ISNUMBER(SEARCH("AMATA",J90)),ISNUMBER(SEARCH("Tam Phước",J90)),ISNUMBER(SEARCH("Giang Điền",J90))),3,-2)+IF(OR(I90="Hằng ngày",I90="2–3 lần/tuần"),3,0)+IF(L90="Có",2,0)+IF(K90&lt;&gt;"",2,0)+IF(OR(ISNUMBER(SEARCH("Thu mua",F90)),ISNUMBER(SEARCH("Quản lý",F90)),ISNUMBER(SEARCH("Giám đốc",F90))),2,0)+IF(OR(H90="200–499",H90="500–999",H90="1.000+"),1,0)</x:f>
        <x:v>-5</x:v>
      </x:c>
      <x:c r="S90" s="33"/>
      <x:c r="T90" s="33"/>
      <x:c r="U90" s="33"/>
      <x:c r="V90" s="33"/>
    </x:row>
    <x:row r="91">
      <x:c r="A91" s="35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4" t="n">
        <x:f>IF(D91="",-3,0)+IF(OR(ISNUMBER(SEARCH("Biên Hòa",J91)),ISNUMBER(SEARCH("Long Thành",J91)),ISNUMBER(SEARCH("Nhơn Trạch",J91)),ISNUMBER(SEARCH("AMATA",J91)),ISNUMBER(SEARCH("Tam Phước",J91)),ISNUMBER(SEARCH("Giang Điền",J91))),3,-2)+IF(OR(I91="Hằng ngày",I91="2–3 lần/tuần"),3,0)+IF(L91="Có",2,0)+IF(K91&lt;&gt;"",2,0)+IF(OR(ISNUMBER(SEARCH("Thu mua",F91)),ISNUMBER(SEARCH("Quản lý",F91)),ISNUMBER(SEARCH("Giám đốc",F91))),2,0)+IF(OR(H91="200–499",H91="500–999",H91="1.000+"),1,0)</x:f>
        <x:v>-5</x:v>
      </x:c>
      <x:c r="S91" s="33"/>
      <x:c r="T91" s="33"/>
      <x:c r="U91" s="33"/>
      <x:c r="V91" s="33"/>
    </x:row>
    <x:row r="92">
      <x:c r="A92" s="35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4" t="n">
        <x:f>IF(D92="",-3,0)+IF(OR(ISNUMBER(SEARCH("Biên Hòa",J92)),ISNUMBER(SEARCH("Long Thành",J92)),ISNUMBER(SEARCH("Nhơn Trạch",J92)),ISNUMBER(SEARCH("AMATA",J92)),ISNUMBER(SEARCH("Tam Phước",J92)),ISNUMBER(SEARCH("Giang Điền",J92))),3,-2)+IF(OR(I92="Hằng ngày",I92="2–3 lần/tuần"),3,0)+IF(L92="Có",2,0)+IF(K92&lt;&gt;"",2,0)+IF(OR(ISNUMBER(SEARCH("Thu mua",F92)),ISNUMBER(SEARCH("Quản lý",F92)),ISNUMBER(SEARCH("Giám đốc",F92))),2,0)+IF(OR(H92="200–499",H92="500–999",H92="1.000+"),1,0)</x:f>
        <x:v>-5</x:v>
      </x:c>
      <x:c r="S92" s="33"/>
      <x:c r="T92" s="33"/>
      <x:c r="U92" s="33"/>
      <x:c r="V92" s="33"/>
    </x:row>
    <x:row r="93">
      <x:c r="A93" s="35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4" t="n">
        <x:f>IF(D93="",-3,0)+IF(OR(ISNUMBER(SEARCH("Biên Hòa",J93)),ISNUMBER(SEARCH("Long Thành",J93)),ISNUMBER(SEARCH("Nhơn Trạch",J93)),ISNUMBER(SEARCH("AMATA",J93)),ISNUMBER(SEARCH("Tam Phước",J93)),ISNUMBER(SEARCH("Giang Điền",J93))),3,-2)+IF(OR(I93="Hằng ngày",I93="2–3 lần/tuần"),3,0)+IF(L93="Có",2,0)+IF(K93&lt;&gt;"",2,0)+IF(OR(ISNUMBER(SEARCH("Thu mua",F93)),ISNUMBER(SEARCH("Quản lý",F93)),ISNUMBER(SEARCH("Giám đốc",F93))),2,0)+IF(OR(H93="200–499",H93="500–999",H93="1.000+"),1,0)</x:f>
        <x:v>-5</x:v>
      </x:c>
      <x:c r="S93" s="33"/>
      <x:c r="T93" s="33"/>
      <x:c r="U93" s="33"/>
      <x:c r="V93" s="33"/>
    </x:row>
    <x:row r="94">
      <x:c r="A94" s="35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4" t="n">
        <x:f>IF(D94="",-3,0)+IF(OR(ISNUMBER(SEARCH("Biên Hòa",J94)),ISNUMBER(SEARCH("Long Thành",J94)),ISNUMBER(SEARCH("Nhơn Trạch",J94)),ISNUMBER(SEARCH("AMATA",J94)),ISNUMBER(SEARCH("Tam Phước",J94)),ISNUMBER(SEARCH("Giang Điền",J94))),3,-2)+IF(OR(I94="Hằng ngày",I94="2–3 lần/tuần"),3,0)+IF(L94="Có",2,0)+IF(K94&lt;&gt;"",2,0)+IF(OR(ISNUMBER(SEARCH("Thu mua",F94)),ISNUMBER(SEARCH("Quản lý",F94)),ISNUMBER(SEARCH("Giám đốc",F94))),2,0)+IF(OR(H94="200–499",H94="500–999",H94="1.000+"),1,0)</x:f>
        <x:v>-5</x:v>
      </x:c>
      <x:c r="S94" s="33"/>
      <x:c r="T94" s="33"/>
      <x:c r="U94" s="33"/>
      <x:c r="V94" s="33"/>
    </x:row>
    <x:row r="95">
      <x:c r="A95" s="35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4" t="n">
        <x:f>IF(D95="",-3,0)+IF(OR(ISNUMBER(SEARCH("Biên Hòa",J95)),ISNUMBER(SEARCH("Long Thành",J95)),ISNUMBER(SEARCH("Nhơn Trạch",J95)),ISNUMBER(SEARCH("AMATA",J95)),ISNUMBER(SEARCH("Tam Phước",J95)),ISNUMBER(SEARCH("Giang Điền",J95))),3,-2)+IF(OR(I95="Hằng ngày",I95="2–3 lần/tuần"),3,0)+IF(L95="Có",2,0)+IF(K95&lt;&gt;"",2,0)+IF(OR(ISNUMBER(SEARCH("Thu mua",F95)),ISNUMBER(SEARCH("Quản lý",F95)),ISNUMBER(SEARCH("Giám đốc",F95))),2,0)+IF(OR(H95="200–499",H95="500–999",H95="1.000+"),1,0)</x:f>
        <x:v>-5</x:v>
      </x:c>
      <x:c r="S95" s="33"/>
      <x:c r="T95" s="33"/>
      <x:c r="U95" s="33"/>
      <x:c r="V95" s="33"/>
    </x:row>
    <x:row r="96">
      <x:c r="A96" s="35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4" t="n">
        <x:f>IF(D96="",-3,0)+IF(OR(ISNUMBER(SEARCH("Biên Hòa",J96)),ISNUMBER(SEARCH("Long Thành",J96)),ISNUMBER(SEARCH("Nhơn Trạch",J96)),ISNUMBER(SEARCH("AMATA",J96)),ISNUMBER(SEARCH("Tam Phước",J96)),ISNUMBER(SEARCH("Giang Điền",J96))),3,-2)+IF(OR(I96="Hằng ngày",I96="2–3 lần/tuần"),3,0)+IF(L96="Có",2,0)+IF(K96&lt;&gt;"",2,0)+IF(OR(ISNUMBER(SEARCH("Thu mua",F96)),ISNUMBER(SEARCH("Quản lý",F96)),ISNUMBER(SEARCH("Giám đốc",F96))),2,0)+IF(OR(H96="200–499",H96="500–999",H96="1.000+"),1,0)</x:f>
        <x:v>-5</x:v>
      </x:c>
      <x:c r="S96" s="33"/>
      <x:c r="T96" s="33"/>
      <x:c r="U96" s="33"/>
      <x:c r="V96" s="33"/>
    </x:row>
    <x:row r="97">
      <x:c r="A97" s="35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4" t="n">
        <x:f>IF(D97="",-3,0)+IF(OR(ISNUMBER(SEARCH("Biên Hòa",J97)),ISNUMBER(SEARCH("Long Thành",J97)),ISNUMBER(SEARCH("Nhơn Trạch",J97)),ISNUMBER(SEARCH("AMATA",J97)),ISNUMBER(SEARCH("Tam Phước",J97)),ISNUMBER(SEARCH("Giang Điền",J97))),3,-2)+IF(OR(I97="Hằng ngày",I97="2–3 lần/tuần"),3,0)+IF(L97="Có",2,0)+IF(K97&lt;&gt;"",2,0)+IF(OR(ISNUMBER(SEARCH("Thu mua",F97)),ISNUMBER(SEARCH("Quản lý",F97)),ISNUMBER(SEARCH("Giám đốc",F97))),2,0)+IF(OR(H97="200–499",H97="500–999",H97="1.000+"),1,0)</x:f>
        <x:v>-5</x:v>
      </x:c>
      <x:c r="S97" s="33"/>
      <x:c r="T97" s="33"/>
      <x:c r="U97" s="33"/>
      <x:c r="V97" s="33"/>
    </x:row>
    <x:row r="98">
      <x:c r="A98" s="35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4" t="n">
        <x:f>IF(D98="",-3,0)+IF(OR(ISNUMBER(SEARCH("Biên Hòa",J98)),ISNUMBER(SEARCH("Long Thành",J98)),ISNUMBER(SEARCH("Nhơn Trạch",J98)),ISNUMBER(SEARCH("AMATA",J98)),ISNUMBER(SEARCH("Tam Phước",J98)),ISNUMBER(SEARCH("Giang Điền",J98))),3,-2)+IF(OR(I98="Hằng ngày",I98="2–3 lần/tuần"),3,0)+IF(L98="Có",2,0)+IF(K98&lt;&gt;"",2,0)+IF(OR(ISNUMBER(SEARCH("Thu mua",F98)),ISNUMBER(SEARCH("Quản lý",F98)),ISNUMBER(SEARCH("Giám đốc",F98))),2,0)+IF(OR(H98="200–499",H98="500–999",H98="1.000+"),1,0)</x:f>
        <x:v>-5</x:v>
      </x:c>
      <x:c r="S98" s="33"/>
      <x:c r="T98" s="33"/>
      <x:c r="U98" s="33"/>
      <x:c r="V98" s="33"/>
    </x:row>
    <x:row r="99">
      <x:c r="A99" s="35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4" t="n">
        <x:f>IF(D99="",-3,0)+IF(OR(ISNUMBER(SEARCH("Biên Hòa",J99)),ISNUMBER(SEARCH("Long Thành",J99)),ISNUMBER(SEARCH("Nhơn Trạch",J99)),ISNUMBER(SEARCH("AMATA",J99)),ISNUMBER(SEARCH("Tam Phước",J99)),ISNUMBER(SEARCH("Giang Điền",J99))),3,-2)+IF(OR(I99="Hằng ngày",I99="2–3 lần/tuần"),3,0)+IF(L99="Có",2,0)+IF(K99&lt;&gt;"",2,0)+IF(OR(ISNUMBER(SEARCH("Thu mua",F99)),ISNUMBER(SEARCH("Quản lý",F99)),ISNUMBER(SEARCH("Giám đốc",F99))),2,0)+IF(OR(H99="200–499",H99="500–999",H99="1.000+"),1,0)</x:f>
        <x:v>-5</x:v>
      </x:c>
      <x:c r="S99" s="33"/>
      <x:c r="T99" s="33"/>
      <x:c r="U99" s="33"/>
      <x:c r="V99" s="33"/>
    </x:row>
    <x:row r="100">
      <x:c r="A100" s="35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4" t="n">
        <x:f>IF(D100="",-3,0)+IF(OR(ISNUMBER(SEARCH("Biên Hòa",J100)),ISNUMBER(SEARCH("Long Thành",J100)),ISNUMBER(SEARCH("Nhơn Trạch",J100)),ISNUMBER(SEARCH("AMATA",J100)),ISNUMBER(SEARCH("Tam Phước",J100)),ISNUMBER(SEARCH("Giang Điền",J100))),3,-2)+IF(OR(I100="Hằng ngày",I100="2–3 lần/tuần"),3,0)+IF(L100="Có",2,0)+IF(K100&lt;&gt;"",2,0)+IF(OR(ISNUMBER(SEARCH("Thu mua",F100)),ISNUMBER(SEARCH("Quản lý",F100)),ISNUMBER(SEARCH("Giám đốc",F100))),2,0)+IF(OR(H100="200–499",H100="500–999",H100="1.000+"),1,0)</x:f>
        <x:v>-5</x:v>
      </x:c>
      <x:c r="S100" s="33"/>
      <x:c r="T100" s="33"/>
      <x:c r="U100" s="33"/>
      <x:c r="V100" s="33"/>
    </x:row>
    <x:row r="101">
      <x:c r="A101" s="35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4" t="n">
        <x:f>IF(D101="",-3,0)+IF(OR(ISNUMBER(SEARCH("Biên Hòa",J101)),ISNUMBER(SEARCH("Long Thành",J101)),ISNUMBER(SEARCH("Nhơn Trạch",J101)),ISNUMBER(SEARCH("AMATA",J101)),ISNUMBER(SEARCH("Tam Phước",J101)),ISNUMBER(SEARCH("Giang Điền",J101))),3,-2)+IF(OR(I101="Hằng ngày",I101="2–3 lần/tuần"),3,0)+IF(L101="Có",2,0)+IF(K101&lt;&gt;"",2,0)+IF(OR(ISNUMBER(SEARCH("Thu mua",F101)),ISNUMBER(SEARCH("Quản lý",F101)),ISNUMBER(SEARCH("Giám đốc",F101))),2,0)+IF(OR(H101="200–499",H101="500–999",H101="1.000+"),1,0)</x:f>
        <x:v>-5</x:v>
      </x:c>
      <x:c r="S101" s="33"/>
      <x:c r="T101" s="33"/>
      <x:c r="U101" s="33"/>
      <x:c r="V101" s="33"/>
    </x:row>
    <x:row r="102">
      <x:c r="A102" s="35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4" t="n">
        <x:f>IF(D102="",-3,0)+IF(OR(ISNUMBER(SEARCH("Biên Hòa",J102)),ISNUMBER(SEARCH("Long Thành",J102)),ISNUMBER(SEARCH("Nhơn Trạch",J102)),ISNUMBER(SEARCH("AMATA",J102)),ISNUMBER(SEARCH("Tam Phước",J102)),ISNUMBER(SEARCH("Giang Điền",J102))),3,-2)+IF(OR(I102="Hằng ngày",I102="2–3 lần/tuần"),3,0)+IF(L102="Có",2,0)+IF(K102&lt;&gt;"",2,0)+IF(OR(ISNUMBER(SEARCH("Thu mua",F102)),ISNUMBER(SEARCH("Quản lý",F102)),ISNUMBER(SEARCH("Giám đốc",F102))),2,0)+IF(OR(H102="200–499",H102="500–999",H102="1.000+"),1,0)</x:f>
        <x:v>-5</x:v>
      </x:c>
      <x:c r="S102" s="33"/>
      <x:c r="T102" s="33"/>
      <x:c r="U102" s="33"/>
      <x:c r="V102" s="33"/>
    </x:row>
    <x:row r="103">
      <x:c r="A103" s="35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4" t="n">
        <x:f>IF(D103="",-3,0)+IF(OR(ISNUMBER(SEARCH("Biên Hòa",J103)),ISNUMBER(SEARCH("Long Thành",J103)),ISNUMBER(SEARCH("Nhơn Trạch",J103)),ISNUMBER(SEARCH("AMATA",J103)),ISNUMBER(SEARCH("Tam Phước",J103)),ISNUMBER(SEARCH("Giang Điền",J103))),3,-2)+IF(OR(I103="Hằng ngày",I103="2–3 lần/tuần"),3,0)+IF(L103="Có",2,0)+IF(K103&lt;&gt;"",2,0)+IF(OR(ISNUMBER(SEARCH("Thu mua",F103)),ISNUMBER(SEARCH("Quản lý",F103)),ISNUMBER(SEARCH("Giám đốc",F103))),2,0)+IF(OR(H103="200–499",H103="500–999",H103="1.000+"),1,0)</x:f>
        <x:v>-5</x:v>
      </x:c>
      <x:c r="S103" s="33"/>
      <x:c r="T103" s="33"/>
      <x:c r="U103" s="33"/>
      <x:c r="V103" s="33"/>
    </x:row>
    <x:row r="104">
      <x:c r="A104" s="35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4" t="n">
        <x:f>IF(D104="",-3,0)+IF(OR(ISNUMBER(SEARCH("Biên Hòa",J104)),ISNUMBER(SEARCH("Long Thành",J104)),ISNUMBER(SEARCH("Nhơn Trạch",J104)),ISNUMBER(SEARCH("AMATA",J104)),ISNUMBER(SEARCH("Tam Phước",J104)),ISNUMBER(SEARCH("Giang Điền",J104))),3,-2)+IF(OR(I104="Hằng ngày",I104="2–3 lần/tuần"),3,0)+IF(L104="Có",2,0)+IF(K104&lt;&gt;"",2,0)+IF(OR(ISNUMBER(SEARCH("Thu mua",F104)),ISNUMBER(SEARCH("Quản lý",F104)),ISNUMBER(SEARCH("Giám đốc",F104))),2,0)+IF(OR(H104="200–499",H104="500–999",H104="1.000+"),1,0)</x:f>
        <x:v>-5</x:v>
      </x:c>
      <x:c r="S104" s="33"/>
      <x:c r="T104" s="33"/>
      <x:c r="U104" s="33"/>
      <x:c r="V104" s="33"/>
    </x:row>
    <x:row r="105">
      <x:c r="A105" s="35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4" t="n">
        <x:f>IF(D105="",-3,0)+IF(OR(ISNUMBER(SEARCH("Biên Hòa",J105)),ISNUMBER(SEARCH("Long Thành",J105)),ISNUMBER(SEARCH("Nhơn Trạch",J105)),ISNUMBER(SEARCH("AMATA",J105)),ISNUMBER(SEARCH("Tam Phước",J105)),ISNUMBER(SEARCH("Giang Điền",J105))),3,-2)+IF(OR(I105="Hằng ngày",I105="2–3 lần/tuần"),3,0)+IF(L105="Có",2,0)+IF(K105&lt;&gt;"",2,0)+IF(OR(ISNUMBER(SEARCH("Thu mua",F105)),ISNUMBER(SEARCH("Quản lý",F105)),ISNUMBER(SEARCH("Giám đốc",F105))),2,0)+IF(OR(H105="200–499",H105="500–999",H105="1.000+"),1,0)</x:f>
        <x:v>-5</x:v>
      </x:c>
      <x:c r="S105" s="33"/>
      <x:c r="T105" s="33"/>
      <x:c r="U105" s="33"/>
      <x:c r="V105" s="33"/>
    </x:row>
    <x:row r="106">
      <x:c r="A106" s="35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4" t="n">
        <x:f>IF(D106="",-3,0)+IF(OR(ISNUMBER(SEARCH("Biên Hòa",J106)),ISNUMBER(SEARCH("Long Thành",J106)),ISNUMBER(SEARCH("Nhơn Trạch",J106)),ISNUMBER(SEARCH("AMATA",J106)),ISNUMBER(SEARCH("Tam Phước",J106)),ISNUMBER(SEARCH("Giang Điền",J106))),3,-2)+IF(OR(I106="Hằng ngày",I106="2–3 lần/tuần"),3,0)+IF(L106="Có",2,0)+IF(K106&lt;&gt;"",2,0)+IF(OR(ISNUMBER(SEARCH("Thu mua",F106)),ISNUMBER(SEARCH("Quản lý",F106)),ISNUMBER(SEARCH("Giám đốc",F106))),2,0)+IF(OR(H106="200–499",H106="500–999",H106="1.000+"),1,0)</x:f>
        <x:v>-5</x:v>
      </x:c>
      <x:c r="S106" s="33"/>
      <x:c r="T106" s="33"/>
      <x:c r="U106" s="33"/>
      <x:c r="V106" s="33"/>
    </x:row>
    <x:row r="107">
      <x:c r="A107" s="35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4" t="n">
        <x:f>IF(D107="",-3,0)+IF(OR(ISNUMBER(SEARCH("Biên Hòa",J107)),ISNUMBER(SEARCH("Long Thành",J107)),ISNUMBER(SEARCH("Nhơn Trạch",J107)),ISNUMBER(SEARCH("AMATA",J107)),ISNUMBER(SEARCH("Tam Phước",J107)),ISNUMBER(SEARCH("Giang Điền",J107))),3,-2)+IF(OR(I107="Hằng ngày",I107="2–3 lần/tuần"),3,0)+IF(L107="Có",2,0)+IF(K107&lt;&gt;"",2,0)+IF(OR(ISNUMBER(SEARCH("Thu mua",F107)),ISNUMBER(SEARCH("Quản lý",F107)),ISNUMBER(SEARCH("Giám đốc",F107))),2,0)+IF(OR(H107="200–499",H107="500–999",H107="1.000+"),1,0)</x:f>
        <x:v>-5</x:v>
      </x:c>
      <x:c r="S107" s="33"/>
      <x:c r="T107" s="33"/>
      <x:c r="U107" s="33"/>
      <x:c r="V107" s="33"/>
    </x:row>
    <x:row r="108">
      <x:c r="A108" s="35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4" t="n">
        <x:f>IF(D108="",-3,0)+IF(OR(ISNUMBER(SEARCH("Biên Hòa",J108)),ISNUMBER(SEARCH("Long Thành",J108)),ISNUMBER(SEARCH("Nhơn Trạch",J108)),ISNUMBER(SEARCH("AMATA",J108)),ISNUMBER(SEARCH("Tam Phước",J108)),ISNUMBER(SEARCH("Giang Điền",J108))),3,-2)+IF(OR(I108="Hằng ngày",I108="2–3 lần/tuần"),3,0)+IF(L108="Có",2,0)+IF(K108&lt;&gt;"",2,0)+IF(OR(ISNUMBER(SEARCH("Thu mua",F108)),ISNUMBER(SEARCH("Quản lý",F108)),ISNUMBER(SEARCH("Giám đốc",F108))),2,0)+IF(OR(H108="200–499",H108="500–999",H108="1.000+"),1,0)</x:f>
        <x:v>-5</x:v>
      </x:c>
      <x:c r="S108" s="33"/>
      <x:c r="T108" s="33"/>
      <x:c r="U108" s="33"/>
      <x:c r="V108" s="33"/>
    </x:row>
    <x:row r="109">
      <x:c r="A109" s="35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4" t="n">
        <x:f>IF(D109="",-3,0)+IF(OR(ISNUMBER(SEARCH("Biên Hòa",J109)),ISNUMBER(SEARCH("Long Thành",J109)),ISNUMBER(SEARCH("Nhơn Trạch",J109)),ISNUMBER(SEARCH("AMATA",J109)),ISNUMBER(SEARCH("Tam Phước",J109)),ISNUMBER(SEARCH("Giang Điền",J109))),3,-2)+IF(OR(I109="Hằng ngày",I109="2–3 lần/tuần"),3,0)+IF(L109="Có",2,0)+IF(K109&lt;&gt;"",2,0)+IF(OR(ISNUMBER(SEARCH("Thu mua",F109)),ISNUMBER(SEARCH("Quản lý",F109)),ISNUMBER(SEARCH("Giám đốc",F109))),2,0)+IF(OR(H109="200–499",H109="500–999",H109="1.000+"),1,0)</x:f>
        <x:v>-5</x:v>
      </x:c>
      <x:c r="S109" s="33"/>
      <x:c r="T109" s="33"/>
      <x:c r="U109" s="33"/>
      <x:c r="V109" s="33"/>
    </x:row>
    <x:row r="110">
      <x:c r="A110" s="35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4" t="n">
        <x:f>IF(D110="",-3,0)+IF(OR(ISNUMBER(SEARCH("Biên Hòa",J110)),ISNUMBER(SEARCH("Long Thành",J110)),ISNUMBER(SEARCH("Nhơn Trạch",J110)),ISNUMBER(SEARCH("AMATA",J110)),ISNUMBER(SEARCH("Tam Phước",J110)),ISNUMBER(SEARCH("Giang Điền",J110))),3,-2)+IF(OR(I110="Hằng ngày",I110="2–3 lần/tuần"),3,0)+IF(L110="Có",2,0)+IF(K110&lt;&gt;"",2,0)+IF(OR(ISNUMBER(SEARCH("Thu mua",F110)),ISNUMBER(SEARCH("Quản lý",F110)),ISNUMBER(SEARCH("Giám đốc",F110))),2,0)+IF(OR(H110="200–499",H110="500–999",H110="1.000+"),1,0)</x:f>
        <x:v>-5</x:v>
      </x:c>
      <x:c r="S110" s="33"/>
      <x:c r="T110" s="33"/>
      <x:c r="U110" s="33"/>
      <x:c r="V110" s="33"/>
    </x:row>
    <x:row r="111">
      <x:c r="A111" s="35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4" t="n">
        <x:f>IF(D111="",-3,0)+IF(OR(ISNUMBER(SEARCH("Biên Hòa",J111)),ISNUMBER(SEARCH("Long Thành",J111)),ISNUMBER(SEARCH("Nhơn Trạch",J111)),ISNUMBER(SEARCH("AMATA",J111)),ISNUMBER(SEARCH("Tam Phước",J111)),ISNUMBER(SEARCH("Giang Điền",J111))),3,-2)+IF(OR(I111="Hằng ngày",I111="2–3 lần/tuần"),3,0)+IF(L111="Có",2,0)+IF(K111&lt;&gt;"",2,0)+IF(OR(ISNUMBER(SEARCH("Thu mua",F111)),ISNUMBER(SEARCH("Quản lý",F111)),ISNUMBER(SEARCH("Giám đốc",F111))),2,0)+IF(OR(H111="200–499",H111="500–999",H111="1.000+"),1,0)</x:f>
        <x:v>-5</x:v>
      </x:c>
      <x:c r="S111" s="33"/>
      <x:c r="T111" s="33"/>
      <x:c r="U111" s="33"/>
      <x:c r="V111" s="33"/>
    </x:row>
    <x:row r="112">
      <x:c r="A112" s="35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4" t="n">
        <x:f>IF(D112="",-3,0)+IF(OR(ISNUMBER(SEARCH("Biên Hòa",J112)),ISNUMBER(SEARCH("Long Thành",J112)),ISNUMBER(SEARCH("Nhơn Trạch",J112)),ISNUMBER(SEARCH("AMATA",J112)),ISNUMBER(SEARCH("Tam Phước",J112)),ISNUMBER(SEARCH("Giang Điền",J112))),3,-2)+IF(OR(I112="Hằng ngày",I112="2–3 lần/tuần"),3,0)+IF(L112="Có",2,0)+IF(K112&lt;&gt;"",2,0)+IF(OR(ISNUMBER(SEARCH("Thu mua",F112)),ISNUMBER(SEARCH("Quản lý",F112)),ISNUMBER(SEARCH("Giám đốc",F112))),2,0)+IF(OR(H112="200–499",H112="500–999",H112="1.000+"),1,0)</x:f>
        <x:v>-5</x:v>
      </x:c>
      <x:c r="S112" s="33"/>
      <x:c r="T112" s="33"/>
      <x:c r="U112" s="33"/>
      <x:c r="V112" s="33"/>
    </x:row>
    <x:row r="113">
      <x:c r="A113" s="35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4" t="n">
        <x:f>IF(D113="",-3,0)+IF(OR(ISNUMBER(SEARCH("Biên Hòa",J113)),ISNUMBER(SEARCH("Long Thành",J113)),ISNUMBER(SEARCH("Nhơn Trạch",J113)),ISNUMBER(SEARCH("AMATA",J113)),ISNUMBER(SEARCH("Tam Phước",J113)),ISNUMBER(SEARCH("Giang Điền",J113))),3,-2)+IF(OR(I113="Hằng ngày",I113="2–3 lần/tuần"),3,0)+IF(L113="Có",2,0)+IF(K113&lt;&gt;"",2,0)+IF(OR(ISNUMBER(SEARCH("Thu mua",F113)),ISNUMBER(SEARCH("Quản lý",F113)),ISNUMBER(SEARCH("Giám đốc",F113))),2,0)+IF(OR(H113="200–499",H113="500–999",H113="1.000+"),1,0)</x:f>
        <x:v>-5</x:v>
      </x:c>
      <x:c r="S113" s="33"/>
      <x:c r="T113" s="33"/>
      <x:c r="U113" s="33"/>
      <x:c r="V113" s="33"/>
    </x:row>
    <x:row r="114">
      <x:c r="A114" s="35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4" t="n">
        <x:f>IF(D114="",-3,0)+IF(OR(ISNUMBER(SEARCH("Biên Hòa",J114)),ISNUMBER(SEARCH("Long Thành",J114)),ISNUMBER(SEARCH("Nhơn Trạch",J114)),ISNUMBER(SEARCH("AMATA",J114)),ISNUMBER(SEARCH("Tam Phước",J114)),ISNUMBER(SEARCH("Giang Điền",J114))),3,-2)+IF(OR(I114="Hằng ngày",I114="2–3 lần/tuần"),3,0)+IF(L114="Có",2,0)+IF(K114&lt;&gt;"",2,0)+IF(OR(ISNUMBER(SEARCH("Thu mua",F114)),ISNUMBER(SEARCH("Quản lý",F114)),ISNUMBER(SEARCH("Giám đốc",F114))),2,0)+IF(OR(H114="200–499",H114="500–999",H114="1.000+"),1,0)</x:f>
        <x:v>-5</x:v>
      </x:c>
      <x:c r="S114" s="33"/>
      <x:c r="T114" s="33"/>
      <x:c r="U114" s="33"/>
      <x:c r="V114" s="33"/>
    </x:row>
    <x:row r="115">
      <x:c r="A115" s="35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4" t="n">
        <x:f>IF(D115="",-3,0)+IF(OR(ISNUMBER(SEARCH("Biên Hòa",J115)),ISNUMBER(SEARCH("Long Thành",J115)),ISNUMBER(SEARCH("Nhơn Trạch",J115)),ISNUMBER(SEARCH("AMATA",J115)),ISNUMBER(SEARCH("Tam Phước",J115)),ISNUMBER(SEARCH("Giang Điền",J115))),3,-2)+IF(OR(I115="Hằng ngày",I115="2–3 lần/tuần"),3,0)+IF(L115="Có",2,0)+IF(K115&lt;&gt;"",2,0)+IF(OR(ISNUMBER(SEARCH("Thu mua",F115)),ISNUMBER(SEARCH("Quản lý",F115)),ISNUMBER(SEARCH("Giám đốc",F115))),2,0)+IF(OR(H115="200–499",H115="500–999",H115="1.000+"),1,0)</x:f>
        <x:v>-5</x:v>
      </x:c>
      <x:c r="S115" s="33"/>
      <x:c r="T115" s="33"/>
      <x:c r="U115" s="33"/>
      <x:c r="V115" s="33"/>
    </x:row>
    <x:row r="116">
      <x:c r="A116" s="35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4" t="n">
        <x:f>IF(D116="",-3,0)+IF(OR(ISNUMBER(SEARCH("Biên Hòa",J116)),ISNUMBER(SEARCH("Long Thành",J116)),ISNUMBER(SEARCH("Nhơn Trạch",J116)),ISNUMBER(SEARCH("AMATA",J116)),ISNUMBER(SEARCH("Tam Phước",J116)),ISNUMBER(SEARCH("Giang Điền",J116))),3,-2)+IF(OR(I116="Hằng ngày",I116="2–3 lần/tuần"),3,0)+IF(L116="Có",2,0)+IF(K116&lt;&gt;"",2,0)+IF(OR(ISNUMBER(SEARCH("Thu mua",F116)),ISNUMBER(SEARCH("Quản lý",F116)),ISNUMBER(SEARCH("Giám đốc",F116))),2,0)+IF(OR(H116="200–499",H116="500–999",H116="1.000+"),1,0)</x:f>
        <x:v>-5</x:v>
      </x:c>
      <x:c r="S116" s="33"/>
      <x:c r="T116" s="33"/>
      <x:c r="U116" s="33"/>
      <x:c r="V116" s="33"/>
    </x:row>
    <x:row r="117">
      <x:c r="A117" s="35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4" t="n">
        <x:f>IF(D117="",-3,0)+IF(OR(ISNUMBER(SEARCH("Biên Hòa",J117)),ISNUMBER(SEARCH("Long Thành",J117)),ISNUMBER(SEARCH("Nhơn Trạch",J117)),ISNUMBER(SEARCH("AMATA",J117)),ISNUMBER(SEARCH("Tam Phước",J117)),ISNUMBER(SEARCH("Giang Điền",J117))),3,-2)+IF(OR(I117="Hằng ngày",I117="2–3 lần/tuần"),3,0)+IF(L117="Có",2,0)+IF(K117&lt;&gt;"",2,0)+IF(OR(ISNUMBER(SEARCH("Thu mua",F117)),ISNUMBER(SEARCH("Quản lý",F117)),ISNUMBER(SEARCH("Giám đốc",F117))),2,0)+IF(OR(H117="200–499",H117="500–999",H117="1.000+"),1,0)</x:f>
        <x:v>-5</x:v>
      </x:c>
      <x:c r="S117" s="33"/>
      <x:c r="T117" s="33"/>
      <x:c r="U117" s="33"/>
      <x:c r="V117" s="33"/>
    </x:row>
    <x:row r="118">
      <x:c r="A118" s="35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4" t="n">
        <x:f>IF(D118="",-3,0)+IF(OR(ISNUMBER(SEARCH("Biên Hòa",J118)),ISNUMBER(SEARCH("Long Thành",J118)),ISNUMBER(SEARCH("Nhơn Trạch",J118)),ISNUMBER(SEARCH("AMATA",J118)),ISNUMBER(SEARCH("Tam Phước",J118)),ISNUMBER(SEARCH("Giang Điền",J118))),3,-2)+IF(OR(I118="Hằng ngày",I118="2–3 lần/tuần"),3,0)+IF(L118="Có",2,0)+IF(K118&lt;&gt;"",2,0)+IF(OR(ISNUMBER(SEARCH("Thu mua",F118)),ISNUMBER(SEARCH("Quản lý",F118)),ISNUMBER(SEARCH("Giám đốc",F118))),2,0)+IF(OR(H118="200–499",H118="500–999",H118="1.000+"),1,0)</x:f>
        <x:v>-5</x:v>
      </x:c>
      <x:c r="S118" s="33"/>
      <x:c r="T118" s="33"/>
      <x:c r="U118" s="33"/>
      <x:c r="V118" s="33"/>
    </x:row>
    <x:row r="119">
      <x:c r="A119" s="35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4" t="n">
        <x:f>IF(D119="",-3,0)+IF(OR(ISNUMBER(SEARCH("Biên Hòa",J119)),ISNUMBER(SEARCH("Long Thành",J119)),ISNUMBER(SEARCH("Nhơn Trạch",J119)),ISNUMBER(SEARCH("AMATA",J119)),ISNUMBER(SEARCH("Tam Phước",J119)),ISNUMBER(SEARCH("Giang Điền",J119))),3,-2)+IF(OR(I119="Hằng ngày",I119="2–3 lần/tuần"),3,0)+IF(L119="Có",2,0)+IF(K119&lt;&gt;"",2,0)+IF(OR(ISNUMBER(SEARCH("Thu mua",F119)),ISNUMBER(SEARCH("Quản lý",F119)),ISNUMBER(SEARCH("Giám đốc",F119))),2,0)+IF(OR(H119="200–499",H119="500–999",H119="1.000+"),1,0)</x:f>
        <x:v>-5</x:v>
      </x:c>
      <x:c r="S119" s="33"/>
      <x:c r="T119" s="33"/>
      <x:c r="U119" s="33"/>
      <x:c r="V119" s="33"/>
    </x:row>
    <x:row r="120">
      <x:c r="A120" s="35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4" t="n">
        <x:f>IF(D120="",-3,0)+IF(OR(ISNUMBER(SEARCH("Biên Hòa",J120)),ISNUMBER(SEARCH("Long Thành",J120)),ISNUMBER(SEARCH("Nhơn Trạch",J120)),ISNUMBER(SEARCH("AMATA",J120)),ISNUMBER(SEARCH("Tam Phước",J120)),ISNUMBER(SEARCH("Giang Điền",J120))),3,-2)+IF(OR(I120="Hằng ngày",I120="2–3 lần/tuần"),3,0)+IF(L120="Có",2,0)+IF(K120&lt;&gt;"",2,0)+IF(OR(ISNUMBER(SEARCH("Thu mua",F120)),ISNUMBER(SEARCH("Quản lý",F120)),ISNUMBER(SEARCH("Giám đốc",F120))),2,0)+IF(OR(H120="200–499",H120="500–999",H120="1.000+"),1,0)</x:f>
        <x:v>-5</x:v>
      </x:c>
      <x:c r="S120" s="33"/>
      <x:c r="T120" s="33"/>
      <x:c r="U120" s="33"/>
      <x:c r="V120" s="33"/>
    </x:row>
    <x:row r="121">
      <x:c r="A121" s="35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4" t="n">
        <x:f>IF(D121="",-3,0)+IF(OR(ISNUMBER(SEARCH("Biên Hòa",J121)),ISNUMBER(SEARCH("Long Thành",J121)),ISNUMBER(SEARCH("Nhơn Trạch",J121)),ISNUMBER(SEARCH("AMATA",J121)),ISNUMBER(SEARCH("Tam Phước",J121)),ISNUMBER(SEARCH("Giang Điền",J121))),3,-2)+IF(OR(I121="Hằng ngày",I121="2–3 lần/tuần"),3,0)+IF(L121="Có",2,0)+IF(K121&lt;&gt;"",2,0)+IF(OR(ISNUMBER(SEARCH("Thu mua",F121)),ISNUMBER(SEARCH("Quản lý",F121)),ISNUMBER(SEARCH("Giám đốc",F121))),2,0)+IF(OR(H121="200–499",H121="500–999",H121="1.000+"),1,0)</x:f>
        <x:v>-5</x:v>
      </x:c>
      <x:c r="S121" s="33"/>
      <x:c r="T121" s="33"/>
      <x:c r="U121" s="33"/>
      <x:c r="V121" s="33"/>
    </x:row>
    <x:row r="122">
      <x:c r="A122" s="35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4" t="n">
        <x:f>IF(D122="",-3,0)+IF(OR(ISNUMBER(SEARCH("Biên Hòa",J122)),ISNUMBER(SEARCH("Long Thành",J122)),ISNUMBER(SEARCH("Nhơn Trạch",J122)),ISNUMBER(SEARCH("AMATA",J122)),ISNUMBER(SEARCH("Tam Phước",J122)),ISNUMBER(SEARCH("Giang Điền",J122))),3,-2)+IF(OR(I122="Hằng ngày",I122="2–3 lần/tuần"),3,0)+IF(L122="Có",2,0)+IF(K122&lt;&gt;"",2,0)+IF(OR(ISNUMBER(SEARCH("Thu mua",F122)),ISNUMBER(SEARCH("Quản lý",F122)),ISNUMBER(SEARCH("Giám đốc",F122))),2,0)+IF(OR(H122="200–499",H122="500–999",H122="1.000+"),1,0)</x:f>
        <x:v>-5</x:v>
      </x:c>
      <x:c r="S122" s="33"/>
      <x:c r="T122" s="33"/>
      <x:c r="U122" s="33"/>
      <x:c r="V122" s="33"/>
    </x:row>
    <x:row r="123">
      <x:c r="A123" s="35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4" t="n">
        <x:f>IF(D123="",-3,0)+IF(OR(ISNUMBER(SEARCH("Biên Hòa",J123)),ISNUMBER(SEARCH("Long Thành",J123)),ISNUMBER(SEARCH("Nhơn Trạch",J123)),ISNUMBER(SEARCH("AMATA",J123)),ISNUMBER(SEARCH("Tam Phước",J123)),ISNUMBER(SEARCH("Giang Điền",J123))),3,-2)+IF(OR(I123="Hằng ngày",I123="2–3 lần/tuần"),3,0)+IF(L123="Có",2,0)+IF(K123&lt;&gt;"",2,0)+IF(OR(ISNUMBER(SEARCH("Thu mua",F123)),ISNUMBER(SEARCH("Quản lý",F123)),ISNUMBER(SEARCH("Giám đốc",F123))),2,0)+IF(OR(H123="200–499",H123="500–999",H123="1.000+"),1,0)</x:f>
        <x:v>-5</x:v>
      </x:c>
      <x:c r="S123" s="33"/>
      <x:c r="T123" s="33"/>
      <x:c r="U123" s="33"/>
      <x:c r="V123" s="33"/>
    </x:row>
    <x:row r="124">
      <x:c r="A124" s="35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4" t="n">
        <x:f>IF(D124="",-3,0)+IF(OR(ISNUMBER(SEARCH("Biên Hòa",J124)),ISNUMBER(SEARCH("Long Thành",J124)),ISNUMBER(SEARCH("Nhơn Trạch",J124)),ISNUMBER(SEARCH("AMATA",J124)),ISNUMBER(SEARCH("Tam Phước",J124)),ISNUMBER(SEARCH("Giang Điền",J124))),3,-2)+IF(OR(I124="Hằng ngày",I124="2–3 lần/tuần"),3,0)+IF(L124="Có",2,0)+IF(K124&lt;&gt;"",2,0)+IF(OR(ISNUMBER(SEARCH("Thu mua",F124)),ISNUMBER(SEARCH("Quản lý",F124)),ISNUMBER(SEARCH("Giám đốc",F124))),2,0)+IF(OR(H124="200–499",H124="500–999",H124="1.000+"),1,0)</x:f>
        <x:v>-5</x:v>
      </x:c>
      <x:c r="S124" s="33"/>
      <x:c r="T124" s="33"/>
      <x:c r="U124" s="33"/>
      <x:c r="V124" s="33"/>
    </x:row>
    <x:row r="125">
      <x:c r="A125" s="35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4" t="n">
        <x:f>IF(D125="",-3,0)+IF(OR(ISNUMBER(SEARCH("Biên Hòa",J125)),ISNUMBER(SEARCH("Long Thành",J125)),ISNUMBER(SEARCH("Nhơn Trạch",J125)),ISNUMBER(SEARCH("AMATA",J125)),ISNUMBER(SEARCH("Tam Phước",J125)),ISNUMBER(SEARCH("Giang Điền",J125))),3,-2)+IF(OR(I125="Hằng ngày",I125="2–3 lần/tuần"),3,0)+IF(L125="Có",2,0)+IF(K125&lt;&gt;"",2,0)+IF(OR(ISNUMBER(SEARCH("Thu mua",F125)),ISNUMBER(SEARCH("Quản lý",F125)),ISNUMBER(SEARCH("Giám đốc",F125))),2,0)+IF(OR(H125="200–499",H125="500–999",H125="1.000+"),1,0)</x:f>
        <x:v>-5</x:v>
      </x:c>
      <x:c r="S125" s="33"/>
      <x:c r="T125" s="33"/>
      <x:c r="U125" s="33"/>
      <x:c r="V125" s="33"/>
    </x:row>
    <x:row r="126">
      <x:c r="A126" s="35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4" t="n">
        <x:f>IF(D126="",-3,0)+IF(OR(ISNUMBER(SEARCH("Biên Hòa",J126)),ISNUMBER(SEARCH("Long Thành",J126)),ISNUMBER(SEARCH("Nhơn Trạch",J126)),ISNUMBER(SEARCH("AMATA",J126)),ISNUMBER(SEARCH("Tam Phước",J126)),ISNUMBER(SEARCH("Giang Điền",J126))),3,-2)+IF(OR(I126="Hằng ngày",I126="2–3 lần/tuần"),3,0)+IF(L126="Có",2,0)+IF(K126&lt;&gt;"",2,0)+IF(OR(ISNUMBER(SEARCH("Thu mua",F126)),ISNUMBER(SEARCH("Quản lý",F126)),ISNUMBER(SEARCH("Giám đốc",F126))),2,0)+IF(OR(H126="200–499",H126="500–999",H126="1.000+"),1,0)</x:f>
        <x:v>-5</x:v>
      </x:c>
      <x:c r="S126" s="33"/>
      <x:c r="T126" s="33"/>
      <x:c r="U126" s="33"/>
      <x:c r="V126" s="33"/>
    </x:row>
    <x:row r="127">
      <x:c r="A127" s="35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4" t="n">
        <x:f>IF(D127="",-3,0)+IF(OR(ISNUMBER(SEARCH("Biên Hòa",J127)),ISNUMBER(SEARCH("Long Thành",J127)),ISNUMBER(SEARCH("Nhơn Trạch",J127)),ISNUMBER(SEARCH("AMATA",J127)),ISNUMBER(SEARCH("Tam Phước",J127)),ISNUMBER(SEARCH("Giang Điền",J127))),3,-2)+IF(OR(I127="Hằng ngày",I127="2–3 lần/tuần"),3,0)+IF(L127="Có",2,0)+IF(K127&lt;&gt;"",2,0)+IF(OR(ISNUMBER(SEARCH("Thu mua",F127)),ISNUMBER(SEARCH("Quản lý",F127)),ISNUMBER(SEARCH("Giám đốc",F127))),2,0)+IF(OR(H127="200–499",H127="500–999",H127="1.000+"),1,0)</x:f>
        <x:v>-5</x:v>
      </x:c>
      <x:c r="S127" s="33"/>
      <x:c r="T127" s="33"/>
      <x:c r="U127" s="33"/>
      <x:c r="V127" s="33"/>
    </x:row>
    <x:row r="128">
      <x:c r="A128" s="35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4" t="n">
        <x:f>IF(D128="",-3,0)+IF(OR(ISNUMBER(SEARCH("Biên Hòa",J128)),ISNUMBER(SEARCH("Long Thành",J128)),ISNUMBER(SEARCH("Nhơn Trạch",J128)),ISNUMBER(SEARCH("AMATA",J128)),ISNUMBER(SEARCH("Tam Phước",J128)),ISNUMBER(SEARCH("Giang Điền",J128))),3,-2)+IF(OR(I128="Hằng ngày",I128="2–3 lần/tuần"),3,0)+IF(L128="Có",2,0)+IF(K128&lt;&gt;"",2,0)+IF(OR(ISNUMBER(SEARCH("Thu mua",F128)),ISNUMBER(SEARCH("Quản lý",F128)),ISNUMBER(SEARCH("Giám đốc",F128))),2,0)+IF(OR(H128="200–499",H128="500–999",H128="1.000+"),1,0)</x:f>
        <x:v>-5</x:v>
      </x:c>
      <x:c r="S128" s="33"/>
      <x:c r="T128" s="33"/>
      <x:c r="U128" s="33"/>
      <x:c r="V128" s="33"/>
    </x:row>
    <x:row r="129">
      <x:c r="A129" s="35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4" t="n">
        <x:f>IF(D129="",-3,0)+IF(OR(ISNUMBER(SEARCH("Biên Hòa",J129)),ISNUMBER(SEARCH("Long Thành",J129)),ISNUMBER(SEARCH("Nhơn Trạch",J129)),ISNUMBER(SEARCH("AMATA",J129)),ISNUMBER(SEARCH("Tam Phước",J129)),ISNUMBER(SEARCH("Giang Điền",J129))),3,-2)+IF(OR(I129="Hằng ngày",I129="2–3 lần/tuần"),3,0)+IF(L129="Có",2,0)+IF(K129&lt;&gt;"",2,0)+IF(OR(ISNUMBER(SEARCH("Thu mua",F129)),ISNUMBER(SEARCH("Quản lý",F129)),ISNUMBER(SEARCH("Giám đốc",F129))),2,0)+IF(OR(H129="200–499",H129="500–999",H129="1.000+"),1,0)</x:f>
        <x:v>-5</x:v>
      </x:c>
      <x:c r="S129" s="33"/>
      <x:c r="T129" s="33"/>
      <x:c r="U129" s="33"/>
      <x:c r="V129" s="33"/>
    </x:row>
    <x:row r="130">
      <x:c r="A130" s="35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4" t="n">
        <x:f>IF(D130="",-3,0)+IF(OR(ISNUMBER(SEARCH("Biên Hòa",J130)),ISNUMBER(SEARCH("Long Thành",J130)),ISNUMBER(SEARCH("Nhơn Trạch",J130)),ISNUMBER(SEARCH("AMATA",J130)),ISNUMBER(SEARCH("Tam Phước",J130)),ISNUMBER(SEARCH("Giang Điền",J130))),3,-2)+IF(OR(I130="Hằng ngày",I130="2–3 lần/tuần"),3,0)+IF(L130="Có",2,0)+IF(K130&lt;&gt;"",2,0)+IF(OR(ISNUMBER(SEARCH("Thu mua",F130)),ISNUMBER(SEARCH("Quản lý",F130)),ISNUMBER(SEARCH("Giám đốc",F130))),2,0)+IF(OR(H130="200–499",H130="500–999",H130="1.000+"),1,0)</x:f>
        <x:v>-5</x:v>
      </x:c>
      <x:c r="S130" s="33"/>
      <x:c r="T130" s="33"/>
      <x:c r="U130" s="33"/>
      <x:c r="V130" s="33"/>
    </x:row>
    <x:row r="131">
      <x:c r="A131" s="35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4" t="n">
        <x:f>IF(D131="",-3,0)+IF(OR(ISNUMBER(SEARCH("Biên Hòa",J131)),ISNUMBER(SEARCH("Long Thành",J131)),ISNUMBER(SEARCH("Nhơn Trạch",J131)),ISNUMBER(SEARCH("AMATA",J131)),ISNUMBER(SEARCH("Tam Phước",J131)),ISNUMBER(SEARCH("Giang Điền",J131))),3,-2)+IF(OR(I131="Hằng ngày",I131="2–3 lần/tuần"),3,0)+IF(L131="Có",2,0)+IF(K131&lt;&gt;"",2,0)+IF(OR(ISNUMBER(SEARCH("Thu mua",F131)),ISNUMBER(SEARCH("Quản lý",F131)),ISNUMBER(SEARCH("Giám đốc",F131))),2,0)+IF(OR(H131="200–499",H131="500–999",H131="1.000+"),1,0)</x:f>
        <x:v>-5</x:v>
      </x:c>
      <x:c r="S131" s="33"/>
      <x:c r="T131" s="33"/>
      <x:c r="U131" s="33"/>
      <x:c r="V131" s="33"/>
    </x:row>
    <x:row r="132">
      <x:c r="A132" s="35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4" t="n">
        <x:f>IF(D132="",-3,0)+IF(OR(ISNUMBER(SEARCH("Biên Hòa",J132)),ISNUMBER(SEARCH("Long Thành",J132)),ISNUMBER(SEARCH("Nhơn Trạch",J132)),ISNUMBER(SEARCH("AMATA",J132)),ISNUMBER(SEARCH("Tam Phước",J132)),ISNUMBER(SEARCH("Giang Điền",J132))),3,-2)+IF(OR(I132="Hằng ngày",I132="2–3 lần/tuần"),3,0)+IF(L132="Có",2,0)+IF(K132&lt;&gt;"",2,0)+IF(OR(ISNUMBER(SEARCH("Thu mua",F132)),ISNUMBER(SEARCH("Quản lý",F132)),ISNUMBER(SEARCH("Giám đốc",F132))),2,0)+IF(OR(H132="200–499",H132="500–999",H132="1.000+"),1,0)</x:f>
        <x:v>-5</x:v>
      </x:c>
      <x:c r="S132" s="33"/>
      <x:c r="T132" s="33"/>
      <x:c r="U132" s="33"/>
      <x:c r="V132" s="33"/>
    </x:row>
    <x:row r="133">
      <x:c r="A133" s="35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4" t="n">
        <x:f>IF(D133="",-3,0)+IF(OR(ISNUMBER(SEARCH("Biên Hòa",J133)),ISNUMBER(SEARCH("Long Thành",J133)),ISNUMBER(SEARCH("Nhơn Trạch",J133)),ISNUMBER(SEARCH("AMATA",J133)),ISNUMBER(SEARCH("Tam Phước",J133)),ISNUMBER(SEARCH("Giang Điền",J133))),3,-2)+IF(OR(I133="Hằng ngày",I133="2–3 lần/tuần"),3,0)+IF(L133="Có",2,0)+IF(K133&lt;&gt;"",2,0)+IF(OR(ISNUMBER(SEARCH("Thu mua",F133)),ISNUMBER(SEARCH("Quản lý",F133)),ISNUMBER(SEARCH("Giám đốc",F133))),2,0)+IF(OR(H133="200–499",H133="500–999",H133="1.000+"),1,0)</x:f>
        <x:v>-5</x:v>
      </x:c>
      <x:c r="S133" s="33"/>
      <x:c r="T133" s="33"/>
      <x:c r="U133" s="33"/>
      <x:c r="V133" s="33"/>
    </x:row>
    <x:row r="134">
      <x:c r="A134" s="35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4" t="n">
        <x:f>IF(D134="",-3,0)+IF(OR(ISNUMBER(SEARCH("Biên Hòa",J134)),ISNUMBER(SEARCH("Long Thành",J134)),ISNUMBER(SEARCH("Nhơn Trạch",J134)),ISNUMBER(SEARCH("AMATA",J134)),ISNUMBER(SEARCH("Tam Phước",J134)),ISNUMBER(SEARCH("Giang Điền",J134))),3,-2)+IF(OR(I134="Hằng ngày",I134="2–3 lần/tuần"),3,0)+IF(L134="Có",2,0)+IF(K134&lt;&gt;"",2,0)+IF(OR(ISNUMBER(SEARCH("Thu mua",F134)),ISNUMBER(SEARCH("Quản lý",F134)),ISNUMBER(SEARCH("Giám đốc",F134))),2,0)+IF(OR(H134="200–499",H134="500–999",H134="1.000+"),1,0)</x:f>
        <x:v>-5</x:v>
      </x:c>
      <x:c r="S134" s="33"/>
      <x:c r="T134" s="33"/>
      <x:c r="U134" s="33"/>
      <x:c r="V134" s="33"/>
    </x:row>
    <x:row r="135">
      <x:c r="A135" s="35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4" t="n">
        <x:f>IF(D135="",-3,0)+IF(OR(ISNUMBER(SEARCH("Biên Hòa",J135)),ISNUMBER(SEARCH("Long Thành",J135)),ISNUMBER(SEARCH("Nhơn Trạch",J135)),ISNUMBER(SEARCH("AMATA",J135)),ISNUMBER(SEARCH("Tam Phước",J135)),ISNUMBER(SEARCH("Giang Điền",J135))),3,-2)+IF(OR(I135="Hằng ngày",I135="2–3 lần/tuần"),3,0)+IF(L135="Có",2,0)+IF(K135&lt;&gt;"",2,0)+IF(OR(ISNUMBER(SEARCH("Thu mua",F135)),ISNUMBER(SEARCH("Quản lý",F135)),ISNUMBER(SEARCH("Giám đốc",F135))),2,0)+IF(OR(H135="200–499",H135="500–999",H135="1.000+"),1,0)</x:f>
        <x:v>-5</x:v>
      </x:c>
      <x:c r="S135" s="33"/>
      <x:c r="T135" s="33"/>
      <x:c r="U135" s="33"/>
      <x:c r="V135" s="33"/>
    </x:row>
    <x:row r="136">
      <x:c r="A136" s="35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4" t="n">
        <x:f>IF(D136="",-3,0)+IF(OR(ISNUMBER(SEARCH("Biên Hòa",J136)),ISNUMBER(SEARCH("Long Thành",J136)),ISNUMBER(SEARCH("Nhơn Trạch",J136)),ISNUMBER(SEARCH("AMATA",J136)),ISNUMBER(SEARCH("Tam Phước",J136)),ISNUMBER(SEARCH("Giang Điền",J136))),3,-2)+IF(OR(I136="Hằng ngày",I136="2–3 lần/tuần"),3,0)+IF(L136="Có",2,0)+IF(K136&lt;&gt;"",2,0)+IF(OR(ISNUMBER(SEARCH("Thu mua",F136)),ISNUMBER(SEARCH("Quản lý",F136)),ISNUMBER(SEARCH("Giám đốc",F136))),2,0)+IF(OR(H136="200–499",H136="500–999",H136="1.000+"),1,0)</x:f>
        <x:v>-5</x:v>
      </x:c>
      <x:c r="S136" s="33"/>
      <x:c r="T136" s="33"/>
      <x:c r="U136" s="33"/>
      <x:c r="V136" s="33"/>
    </x:row>
    <x:row r="137">
      <x:c r="A137" s="35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4" t="n">
        <x:f>IF(D137="",-3,0)+IF(OR(ISNUMBER(SEARCH("Biên Hòa",J137)),ISNUMBER(SEARCH("Long Thành",J137)),ISNUMBER(SEARCH("Nhơn Trạch",J137)),ISNUMBER(SEARCH("AMATA",J137)),ISNUMBER(SEARCH("Tam Phước",J137)),ISNUMBER(SEARCH("Giang Điền",J137))),3,-2)+IF(OR(I137="Hằng ngày",I137="2–3 lần/tuần"),3,0)+IF(L137="Có",2,0)+IF(K137&lt;&gt;"",2,0)+IF(OR(ISNUMBER(SEARCH("Thu mua",F137)),ISNUMBER(SEARCH("Quản lý",F137)),ISNUMBER(SEARCH("Giám đốc",F137))),2,0)+IF(OR(H137="200–499",H137="500–999",H137="1.000+"),1,0)</x:f>
        <x:v>-5</x:v>
      </x:c>
      <x:c r="S137" s="33"/>
      <x:c r="T137" s="33"/>
      <x:c r="U137" s="33"/>
      <x:c r="V137" s="33"/>
    </x:row>
    <x:row r="138">
      <x:c r="A138" s="35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4" t="n">
        <x:f>IF(D138="",-3,0)+IF(OR(ISNUMBER(SEARCH("Biên Hòa",J138)),ISNUMBER(SEARCH("Long Thành",J138)),ISNUMBER(SEARCH("Nhơn Trạch",J138)),ISNUMBER(SEARCH("AMATA",J138)),ISNUMBER(SEARCH("Tam Phước",J138)),ISNUMBER(SEARCH("Giang Điền",J138))),3,-2)+IF(OR(I138="Hằng ngày",I138="2–3 lần/tuần"),3,0)+IF(L138="Có",2,0)+IF(K138&lt;&gt;"",2,0)+IF(OR(ISNUMBER(SEARCH("Thu mua",F138)),ISNUMBER(SEARCH("Quản lý",F138)),ISNUMBER(SEARCH("Giám đốc",F138))),2,0)+IF(OR(H138="200–499",H138="500–999",H138="1.000+"),1,0)</x:f>
        <x:v>-5</x:v>
      </x:c>
      <x:c r="S138" s="33"/>
      <x:c r="T138" s="33"/>
      <x:c r="U138" s="33"/>
      <x:c r="V138" s="33"/>
    </x:row>
    <x:row r="139">
      <x:c r="A139" s="35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4" t="n">
        <x:f>IF(D139="",-3,0)+IF(OR(ISNUMBER(SEARCH("Biên Hòa",J139)),ISNUMBER(SEARCH("Long Thành",J139)),ISNUMBER(SEARCH("Nhơn Trạch",J139)),ISNUMBER(SEARCH("AMATA",J139)),ISNUMBER(SEARCH("Tam Phước",J139)),ISNUMBER(SEARCH("Giang Điền",J139))),3,-2)+IF(OR(I139="Hằng ngày",I139="2–3 lần/tuần"),3,0)+IF(L139="Có",2,0)+IF(K139&lt;&gt;"",2,0)+IF(OR(ISNUMBER(SEARCH("Thu mua",F139)),ISNUMBER(SEARCH("Quản lý",F139)),ISNUMBER(SEARCH("Giám đốc",F139))),2,0)+IF(OR(H139="200–499",H139="500–999",H139="1.000+"),1,0)</x:f>
        <x:v>-5</x:v>
      </x:c>
      <x:c r="S139" s="33"/>
      <x:c r="T139" s="33"/>
      <x:c r="U139" s="33"/>
      <x:c r="V139" s="33"/>
    </x:row>
    <x:row r="140">
      <x:c r="A140" s="35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4" t="n">
        <x:f>IF(D140="",-3,0)+IF(OR(ISNUMBER(SEARCH("Biên Hòa",J140)),ISNUMBER(SEARCH("Long Thành",J140)),ISNUMBER(SEARCH("Nhơn Trạch",J140)),ISNUMBER(SEARCH("AMATA",J140)),ISNUMBER(SEARCH("Tam Phước",J140)),ISNUMBER(SEARCH("Giang Điền",J140))),3,-2)+IF(OR(I140="Hằng ngày",I140="2–3 lần/tuần"),3,0)+IF(L140="Có",2,0)+IF(K140&lt;&gt;"",2,0)+IF(OR(ISNUMBER(SEARCH("Thu mua",F140)),ISNUMBER(SEARCH("Quản lý",F140)),ISNUMBER(SEARCH("Giám đốc",F140))),2,0)+IF(OR(H140="200–499",H140="500–999",H140="1.000+"),1,0)</x:f>
        <x:v>-5</x:v>
      </x:c>
      <x:c r="S140" s="33"/>
      <x:c r="T140" s="33"/>
      <x:c r="U140" s="33"/>
      <x:c r="V140" s="33"/>
    </x:row>
    <x:row r="141">
      <x:c r="A141" s="35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4" t="n">
        <x:f>IF(D141="",-3,0)+IF(OR(ISNUMBER(SEARCH("Biên Hòa",J141)),ISNUMBER(SEARCH("Long Thành",J141)),ISNUMBER(SEARCH("Nhơn Trạch",J141)),ISNUMBER(SEARCH("AMATA",J141)),ISNUMBER(SEARCH("Tam Phước",J141)),ISNUMBER(SEARCH("Giang Điền",J141))),3,-2)+IF(OR(I141="Hằng ngày",I141="2–3 lần/tuần"),3,0)+IF(L141="Có",2,0)+IF(K141&lt;&gt;"",2,0)+IF(OR(ISNUMBER(SEARCH("Thu mua",F141)),ISNUMBER(SEARCH("Quản lý",F141)),ISNUMBER(SEARCH("Giám đốc",F141))),2,0)+IF(OR(H141="200–499",H141="500–999",H141="1.000+"),1,0)</x:f>
        <x:v>-5</x:v>
      </x:c>
      <x:c r="S141" s="33"/>
      <x:c r="T141" s="33"/>
      <x:c r="U141" s="33"/>
      <x:c r="V141" s="33"/>
    </x:row>
    <x:row r="142">
      <x:c r="A142" s="35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4" t="n">
        <x:f>IF(D142="",-3,0)+IF(OR(ISNUMBER(SEARCH("Biên Hòa",J142)),ISNUMBER(SEARCH("Long Thành",J142)),ISNUMBER(SEARCH("Nhơn Trạch",J142)),ISNUMBER(SEARCH("AMATA",J142)),ISNUMBER(SEARCH("Tam Phước",J142)),ISNUMBER(SEARCH("Giang Điền",J142))),3,-2)+IF(OR(I142="Hằng ngày",I142="2–3 lần/tuần"),3,0)+IF(L142="Có",2,0)+IF(K142&lt;&gt;"",2,0)+IF(OR(ISNUMBER(SEARCH("Thu mua",F142)),ISNUMBER(SEARCH("Quản lý",F142)),ISNUMBER(SEARCH("Giám đốc",F142))),2,0)+IF(OR(H142="200–499",H142="500–999",H142="1.000+"),1,0)</x:f>
        <x:v>-5</x:v>
      </x:c>
      <x:c r="S142" s="33"/>
      <x:c r="T142" s="33"/>
      <x:c r="U142" s="33"/>
      <x:c r="V142" s="33"/>
    </x:row>
    <x:row r="143">
      <x:c r="A143" s="35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4" t="n">
        <x:f>IF(D143="",-3,0)+IF(OR(ISNUMBER(SEARCH("Biên Hòa",J143)),ISNUMBER(SEARCH("Long Thành",J143)),ISNUMBER(SEARCH("Nhơn Trạch",J143)),ISNUMBER(SEARCH("AMATA",J143)),ISNUMBER(SEARCH("Tam Phước",J143)),ISNUMBER(SEARCH("Giang Điền",J143))),3,-2)+IF(OR(I143="Hằng ngày",I143="2–3 lần/tuần"),3,0)+IF(L143="Có",2,0)+IF(K143&lt;&gt;"",2,0)+IF(OR(ISNUMBER(SEARCH("Thu mua",F143)),ISNUMBER(SEARCH("Quản lý",F143)),ISNUMBER(SEARCH("Giám đốc",F143))),2,0)+IF(OR(H143="200–499",H143="500–999",H143="1.000+"),1,0)</x:f>
        <x:v>-5</x:v>
      </x:c>
      <x:c r="S143" s="33"/>
      <x:c r="T143" s="33"/>
      <x:c r="U143" s="33"/>
      <x:c r="V143" s="33"/>
    </x:row>
    <x:row r="144">
      <x:c r="A144" s="35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4" t="n">
        <x:f>IF(D144="",-3,0)+IF(OR(ISNUMBER(SEARCH("Biên Hòa",J144)),ISNUMBER(SEARCH("Long Thành",J144)),ISNUMBER(SEARCH("Nhơn Trạch",J144)),ISNUMBER(SEARCH("AMATA",J144)),ISNUMBER(SEARCH("Tam Phước",J144)),ISNUMBER(SEARCH("Giang Điền",J144))),3,-2)+IF(OR(I144="Hằng ngày",I144="2–3 lần/tuần"),3,0)+IF(L144="Có",2,0)+IF(K144&lt;&gt;"",2,0)+IF(OR(ISNUMBER(SEARCH("Thu mua",F144)),ISNUMBER(SEARCH("Quản lý",F144)),ISNUMBER(SEARCH("Giám đốc",F144))),2,0)+IF(OR(H144="200–499",H144="500–999",H144="1.000+"),1,0)</x:f>
        <x:v>-5</x:v>
      </x:c>
      <x:c r="S144" s="33"/>
      <x:c r="T144" s="33"/>
      <x:c r="U144" s="33"/>
      <x:c r="V144" s="33"/>
    </x:row>
    <x:row r="145">
      <x:c r="A145" s="35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4" t="n">
        <x:f>IF(D145="",-3,0)+IF(OR(ISNUMBER(SEARCH("Biên Hòa",J145)),ISNUMBER(SEARCH("Long Thành",J145)),ISNUMBER(SEARCH("Nhơn Trạch",J145)),ISNUMBER(SEARCH("AMATA",J145)),ISNUMBER(SEARCH("Tam Phước",J145)),ISNUMBER(SEARCH("Giang Điền",J145))),3,-2)+IF(OR(I145="Hằng ngày",I145="2–3 lần/tuần"),3,0)+IF(L145="Có",2,0)+IF(K145&lt;&gt;"",2,0)+IF(OR(ISNUMBER(SEARCH("Thu mua",F145)),ISNUMBER(SEARCH("Quản lý",F145)),ISNUMBER(SEARCH("Giám đốc",F145))),2,0)+IF(OR(H145="200–499",H145="500–999",H145="1.000+"),1,0)</x:f>
        <x:v>-5</x:v>
      </x:c>
      <x:c r="S145" s="33"/>
      <x:c r="T145" s="33"/>
      <x:c r="U145" s="33"/>
      <x:c r="V145" s="33"/>
    </x:row>
    <x:row r="146">
      <x:c r="A146" s="35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4" t="n">
        <x:f>IF(D146="",-3,0)+IF(OR(ISNUMBER(SEARCH("Biên Hòa",J146)),ISNUMBER(SEARCH("Long Thành",J146)),ISNUMBER(SEARCH("Nhơn Trạch",J146)),ISNUMBER(SEARCH("AMATA",J146)),ISNUMBER(SEARCH("Tam Phước",J146)),ISNUMBER(SEARCH("Giang Điền",J146))),3,-2)+IF(OR(I146="Hằng ngày",I146="2–3 lần/tuần"),3,0)+IF(L146="Có",2,0)+IF(K146&lt;&gt;"",2,0)+IF(OR(ISNUMBER(SEARCH("Thu mua",F146)),ISNUMBER(SEARCH("Quản lý",F146)),ISNUMBER(SEARCH("Giám đốc",F146))),2,0)+IF(OR(H146="200–499",H146="500–999",H146="1.000+"),1,0)</x:f>
        <x:v>-5</x:v>
      </x:c>
      <x:c r="S146" s="33"/>
      <x:c r="T146" s="33"/>
      <x:c r="U146" s="33"/>
      <x:c r="V146" s="33"/>
    </x:row>
    <x:row r="147">
      <x:c r="A147" s="35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4" t="n">
        <x:f>IF(D147="",-3,0)+IF(OR(ISNUMBER(SEARCH("Biên Hòa",J147)),ISNUMBER(SEARCH("Long Thành",J147)),ISNUMBER(SEARCH("Nhơn Trạch",J147)),ISNUMBER(SEARCH("AMATA",J147)),ISNUMBER(SEARCH("Tam Phước",J147)),ISNUMBER(SEARCH("Giang Điền",J147))),3,-2)+IF(OR(I147="Hằng ngày",I147="2–3 lần/tuần"),3,0)+IF(L147="Có",2,0)+IF(K147&lt;&gt;"",2,0)+IF(OR(ISNUMBER(SEARCH("Thu mua",F147)),ISNUMBER(SEARCH("Quản lý",F147)),ISNUMBER(SEARCH("Giám đốc",F147))),2,0)+IF(OR(H147="200–499",H147="500–999",H147="1.000+"),1,0)</x:f>
        <x:v>-5</x:v>
      </x:c>
      <x:c r="S147" s="33"/>
      <x:c r="T147" s="33"/>
      <x:c r="U147" s="33"/>
      <x:c r="V147" s="33"/>
    </x:row>
    <x:row r="148">
      <x:c r="A148" s="35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4" t="n">
        <x:f>IF(D148="",-3,0)+IF(OR(ISNUMBER(SEARCH("Biên Hòa",J148)),ISNUMBER(SEARCH("Long Thành",J148)),ISNUMBER(SEARCH("Nhơn Trạch",J148)),ISNUMBER(SEARCH("AMATA",J148)),ISNUMBER(SEARCH("Tam Phước",J148)),ISNUMBER(SEARCH("Giang Điền",J148))),3,-2)+IF(OR(I148="Hằng ngày",I148="2–3 lần/tuần"),3,0)+IF(L148="Có",2,0)+IF(K148&lt;&gt;"",2,0)+IF(OR(ISNUMBER(SEARCH("Thu mua",F148)),ISNUMBER(SEARCH("Quản lý",F148)),ISNUMBER(SEARCH("Giám đốc",F148))),2,0)+IF(OR(H148="200–499",H148="500–999",H148="1.000+"),1,0)</x:f>
        <x:v>-5</x:v>
      </x:c>
      <x:c r="S148" s="33"/>
      <x:c r="T148" s="33"/>
      <x:c r="U148" s="33"/>
      <x:c r="V148" s="33"/>
    </x:row>
    <x:row r="149">
      <x:c r="A149" s="35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4" t="n">
        <x:f>IF(D149="",-3,0)+IF(OR(ISNUMBER(SEARCH("Biên Hòa",J149)),ISNUMBER(SEARCH("Long Thành",J149)),ISNUMBER(SEARCH("Nhơn Trạch",J149)),ISNUMBER(SEARCH("AMATA",J149)),ISNUMBER(SEARCH("Tam Phước",J149)),ISNUMBER(SEARCH("Giang Điền",J149))),3,-2)+IF(OR(I149="Hằng ngày",I149="2–3 lần/tuần"),3,0)+IF(L149="Có",2,0)+IF(K149&lt;&gt;"",2,0)+IF(OR(ISNUMBER(SEARCH("Thu mua",F149)),ISNUMBER(SEARCH("Quản lý",F149)),ISNUMBER(SEARCH("Giám đốc",F149))),2,0)+IF(OR(H149="200–499",H149="500–999",H149="1.000+"),1,0)</x:f>
        <x:v>-5</x:v>
      </x:c>
      <x:c r="S149" s="33"/>
      <x:c r="T149" s="33"/>
      <x:c r="U149" s="33"/>
      <x:c r="V149" s="33"/>
    </x:row>
    <x:row r="150">
      <x:c r="A150" s="35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4" t="n">
        <x:f>IF(D150="",-3,0)+IF(OR(ISNUMBER(SEARCH("Biên Hòa",J150)),ISNUMBER(SEARCH("Long Thành",J150)),ISNUMBER(SEARCH("Nhơn Trạch",J150)),ISNUMBER(SEARCH("AMATA",J150)),ISNUMBER(SEARCH("Tam Phước",J150)),ISNUMBER(SEARCH("Giang Điền",J150))),3,-2)+IF(OR(I150="Hằng ngày",I150="2–3 lần/tuần"),3,0)+IF(L150="Có",2,0)+IF(K150&lt;&gt;"",2,0)+IF(OR(ISNUMBER(SEARCH("Thu mua",F150)),ISNUMBER(SEARCH("Quản lý",F150)),ISNUMBER(SEARCH("Giám đốc",F150))),2,0)+IF(OR(H150="200–499",H150="500–999",H150="1.000+"),1,0)</x:f>
        <x:v>-5</x:v>
      </x:c>
      <x:c r="S150" s="33"/>
      <x:c r="T150" s="33"/>
      <x:c r="U150" s="33"/>
      <x:c r="V150" s="33"/>
    </x:row>
    <x:row r="151">
      <x:c r="A151" s="35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4" t="n">
        <x:f>IF(D151="",-3,0)+IF(OR(ISNUMBER(SEARCH("Biên Hòa",J151)),ISNUMBER(SEARCH("Long Thành",J151)),ISNUMBER(SEARCH("Nhơn Trạch",J151)),ISNUMBER(SEARCH("AMATA",J151)),ISNUMBER(SEARCH("Tam Phước",J151)),ISNUMBER(SEARCH("Giang Điền",J151))),3,-2)+IF(OR(I151="Hằng ngày",I151="2–3 lần/tuần"),3,0)+IF(L151="Có",2,0)+IF(K151&lt;&gt;"",2,0)+IF(OR(ISNUMBER(SEARCH("Thu mua",F151)),ISNUMBER(SEARCH("Quản lý",F151)),ISNUMBER(SEARCH("Giám đốc",F151))),2,0)+IF(OR(H151="200–499",H151="500–999",H151="1.000+"),1,0)</x:f>
        <x:v>-5</x:v>
      </x:c>
      <x:c r="S151" s="33"/>
      <x:c r="T151" s="33"/>
      <x:c r="U151" s="33"/>
      <x:c r="V151" s="33"/>
    </x:row>
    <x:row r="152">
      <x:c r="A152" s="35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4" t="n">
        <x:f>IF(D152="",-3,0)+IF(OR(ISNUMBER(SEARCH("Biên Hòa",J152)),ISNUMBER(SEARCH("Long Thành",J152)),ISNUMBER(SEARCH("Nhơn Trạch",J152)),ISNUMBER(SEARCH("AMATA",J152)),ISNUMBER(SEARCH("Tam Phước",J152)),ISNUMBER(SEARCH("Giang Điền",J152))),3,-2)+IF(OR(I152="Hằng ngày",I152="2–3 lần/tuần"),3,0)+IF(L152="Có",2,0)+IF(K152&lt;&gt;"",2,0)+IF(OR(ISNUMBER(SEARCH("Thu mua",F152)),ISNUMBER(SEARCH("Quản lý",F152)),ISNUMBER(SEARCH("Giám đốc",F152))),2,0)+IF(OR(H152="200–499",H152="500–999",H152="1.000+"),1,0)</x:f>
        <x:v>-5</x:v>
      </x:c>
      <x:c r="S152" s="33"/>
      <x:c r="T152" s="33"/>
      <x:c r="U152" s="33"/>
      <x:c r="V152" s="33"/>
    </x:row>
    <x:row r="153">
      <x:c r="A153" s="35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4" t="n">
        <x:f>IF(D153="",-3,0)+IF(OR(ISNUMBER(SEARCH("Biên Hòa",J153)),ISNUMBER(SEARCH("Long Thành",J153)),ISNUMBER(SEARCH("Nhơn Trạch",J153)),ISNUMBER(SEARCH("AMATA",J153)),ISNUMBER(SEARCH("Tam Phước",J153)),ISNUMBER(SEARCH("Giang Điền",J153))),3,-2)+IF(OR(I153="Hằng ngày",I153="2–3 lần/tuần"),3,0)+IF(L153="Có",2,0)+IF(K153&lt;&gt;"",2,0)+IF(OR(ISNUMBER(SEARCH("Thu mua",F153)),ISNUMBER(SEARCH("Quản lý",F153)),ISNUMBER(SEARCH("Giám đốc",F153))),2,0)+IF(OR(H153="200–499",H153="500–999",H153="1.000+"),1,0)</x:f>
        <x:v>-5</x:v>
      </x:c>
      <x:c r="S153" s="33"/>
      <x:c r="T153" s="33"/>
      <x:c r="U153" s="33"/>
      <x:c r="V153" s="33"/>
    </x:row>
    <x:row r="154">
      <x:c r="A154" s="35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4" t="n">
        <x:f>IF(D154="",-3,0)+IF(OR(ISNUMBER(SEARCH("Biên Hòa",J154)),ISNUMBER(SEARCH("Long Thành",J154)),ISNUMBER(SEARCH("Nhơn Trạch",J154)),ISNUMBER(SEARCH("AMATA",J154)),ISNUMBER(SEARCH("Tam Phước",J154)),ISNUMBER(SEARCH("Giang Điền",J154))),3,-2)+IF(OR(I154="Hằng ngày",I154="2–3 lần/tuần"),3,0)+IF(L154="Có",2,0)+IF(K154&lt;&gt;"",2,0)+IF(OR(ISNUMBER(SEARCH("Thu mua",F154)),ISNUMBER(SEARCH("Quản lý",F154)),ISNUMBER(SEARCH("Giám đốc",F154))),2,0)+IF(OR(H154="200–499",H154="500–999",H154="1.000+"),1,0)</x:f>
        <x:v>-5</x:v>
      </x:c>
      <x:c r="S154" s="33"/>
      <x:c r="T154" s="33"/>
      <x:c r="U154" s="33"/>
      <x:c r="V154" s="33"/>
    </x:row>
    <x:row r="155">
      <x:c r="A155" s="35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4" t="n">
        <x:f>IF(D155="",-3,0)+IF(OR(ISNUMBER(SEARCH("Biên Hòa",J155)),ISNUMBER(SEARCH("Long Thành",J155)),ISNUMBER(SEARCH("Nhơn Trạch",J155)),ISNUMBER(SEARCH("AMATA",J155)),ISNUMBER(SEARCH("Tam Phước",J155)),ISNUMBER(SEARCH("Giang Điền",J155))),3,-2)+IF(OR(I155="Hằng ngày",I155="2–3 lần/tuần"),3,0)+IF(L155="Có",2,0)+IF(K155&lt;&gt;"",2,0)+IF(OR(ISNUMBER(SEARCH("Thu mua",F155)),ISNUMBER(SEARCH("Quản lý",F155)),ISNUMBER(SEARCH("Giám đốc",F155))),2,0)+IF(OR(H155="200–499",H155="500–999",H155="1.000+"),1,0)</x:f>
        <x:v>-5</x:v>
      </x:c>
      <x:c r="S155" s="33"/>
      <x:c r="T155" s="33"/>
      <x:c r="U155" s="33"/>
      <x:c r="V155" s="33"/>
    </x:row>
    <x:row r="156">
      <x:c r="A156" s="35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4" t="n">
        <x:f>IF(D156="",-3,0)+IF(OR(ISNUMBER(SEARCH("Biên Hòa",J156)),ISNUMBER(SEARCH("Long Thành",J156)),ISNUMBER(SEARCH("Nhơn Trạch",J156)),ISNUMBER(SEARCH("AMATA",J156)),ISNUMBER(SEARCH("Tam Phước",J156)),ISNUMBER(SEARCH("Giang Điền",J156))),3,-2)+IF(OR(I156="Hằng ngày",I156="2–3 lần/tuần"),3,0)+IF(L156="Có",2,0)+IF(K156&lt;&gt;"",2,0)+IF(OR(ISNUMBER(SEARCH("Thu mua",F156)),ISNUMBER(SEARCH("Quản lý",F156)),ISNUMBER(SEARCH("Giám đốc",F156))),2,0)+IF(OR(H156="200–499",H156="500–999",H156="1.000+"),1,0)</x:f>
        <x:v>-5</x:v>
      </x:c>
      <x:c r="S156" s="33"/>
      <x:c r="T156" s="33"/>
      <x:c r="U156" s="33"/>
      <x:c r="V156" s="33"/>
    </x:row>
    <x:row r="157">
      <x:c r="A157" s="35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4" t="n">
        <x:f>IF(D157="",-3,0)+IF(OR(ISNUMBER(SEARCH("Biên Hòa",J157)),ISNUMBER(SEARCH("Long Thành",J157)),ISNUMBER(SEARCH("Nhơn Trạch",J157)),ISNUMBER(SEARCH("AMATA",J157)),ISNUMBER(SEARCH("Tam Phước",J157)),ISNUMBER(SEARCH("Giang Điền",J157))),3,-2)+IF(OR(I157="Hằng ngày",I157="2–3 lần/tuần"),3,0)+IF(L157="Có",2,0)+IF(K157&lt;&gt;"",2,0)+IF(OR(ISNUMBER(SEARCH("Thu mua",F157)),ISNUMBER(SEARCH("Quản lý",F157)),ISNUMBER(SEARCH("Giám đốc",F157))),2,0)+IF(OR(H157="200–499",H157="500–999",H157="1.000+"),1,0)</x:f>
        <x:v>-5</x:v>
      </x:c>
      <x:c r="S157" s="33"/>
      <x:c r="T157" s="33"/>
      <x:c r="U157" s="33"/>
      <x:c r="V157" s="33"/>
    </x:row>
    <x:row r="158">
      <x:c r="A158" s="35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4" t="n">
        <x:f>IF(D158="",-3,0)+IF(OR(ISNUMBER(SEARCH("Biên Hòa",J158)),ISNUMBER(SEARCH("Long Thành",J158)),ISNUMBER(SEARCH("Nhơn Trạch",J158)),ISNUMBER(SEARCH("AMATA",J158)),ISNUMBER(SEARCH("Tam Phước",J158)),ISNUMBER(SEARCH("Giang Điền",J158))),3,-2)+IF(OR(I158="Hằng ngày",I158="2–3 lần/tuần"),3,0)+IF(L158="Có",2,0)+IF(K158&lt;&gt;"",2,0)+IF(OR(ISNUMBER(SEARCH("Thu mua",F158)),ISNUMBER(SEARCH("Quản lý",F158)),ISNUMBER(SEARCH("Giám đốc",F158))),2,0)+IF(OR(H158="200–499",H158="500–999",H158="1.000+"),1,0)</x:f>
        <x:v>-5</x:v>
      </x:c>
      <x:c r="S158" s="33"/>
      <x:c r="T158" s="33"/>
      <x:c r="U158" s="33"/>
      <x:c r="V158" s="33"/>
    </x:row>
    <x:row r="159">
      <x:c r="A159" s="35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4" t="n">
        <x:f>IF(D159="",-3,0)+IF(OR(ISNUMBER(SEARCH("Biên Hòa",J159)),ISNUMBER(SEARCH("Long Thành",J159)),ISNUMBER(SEARCH("Nhơn Trạch",J159)),ISNUMBER(SEARCH("AMATA",J159)),ISNUMBER(SEARCH("Tam Phước",J159)),ISNUMBER(SEARCH("Giang Điền",J159))),3,-2)+IF(OR(I159="Hằng ngày",I159="2–3 lần/tuần"),3,0)+IF(L159="Có",2,0)+IF(K159&lt;&gt;"",2,0)+IF(OR(ISNUMBER(SEARCH("Thu mua",F159)),ISNUMBER(SEARCH("Quản lý",F159)),ISNUMBER(SEARCH("Giám đốc",F159))),2,0)+IF(OR(H159="200–499",H159="500–999",H159="1.000+"),1,0)</x:f>
        <x:v>-5</x:v>
      </x:c>
      <x:c r="S159" s="33"/>
      <x:c r="T159" s="33"/>
      <x:c r="U159" s="33"/>
      <x:c r="V159" s="33"/>
    </x:row>
    <x:row r="160">
      <x:c r="A160" s="35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4" t="n">
        <x:f>IF(D160="",-3,0)+IF(OR(ISNUMBER(SEARCH("Biên Hòa",J160)),ISNUMBER(SEARCH("Long Thành",J160)),ISNUMBER(SEARCH("Nhơn Trạch",J160)),ISNUMBER(SEARCH("AMATA",J160)),ISNUMBER(SEARCH("Tam Phước",J160)),ISNUMBER(SEARCH("Giang Điền",J160))),3,-2)+IF(OR(I160="Hằng ngày",I160="2–3 lần/tuần"),3,0)+IF(L160="Có",2,0)+IF(K160&lt;&gt;"",2,0)+IF(OR(ISNUMBER(SEARCH("Thu mua",F160)),ISNUMBER(SEARCH("Quản lý",F160)),ISNUMBER(SEARCH("Giám đốc",F160))),2,0)+IF(OR(H160="200–499",H160="500–999",H160="1.000+"),1,0)</x:f>
        <x:v>-5</x:v>
      </x:c>
      <x:c r="S160" s="33"/>
      <x:c r="T160" s="33"/>
      <x:c r="U160" s="33"/>
      <x:c r="V160" s="33"/>
    </x:row>
    <x:row r="161">
      <x:c r="A161" s="35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4" t="n">
        <x:f>IF(D161="",-3,0)+IF(OR(ISNUMBER(SEARCH("Biên Hòa",J161)),ISNUMBER(SEARCH("Long Thành",J161)),ISNUMBER(SEARCH("Nhơn Trạch",J161)),ISNUMBER(SEARCH("AMATA",J161)),ISNUMBER(SEARCH("Tam Phước",J161)),ISNUMBER(SEARCH("Giang Điền",J161))),3,-2)+IF(OR(I161="Hằng ngày",I161="2–3 lần/tuần"),3,0)+IF(L161="Có",2,0)+IF(K161&lt;&gt;"",2,0)+IF(OR(ISNUMBER(SEARCH("Thu mua",F161)),ISNUMBER(SEARCH("Quản lý",F161)),ISNUMBER(SEARCH("Giám đốc",F161))),2,0)+IF(OR(H161="200–499",H161="500–999",H161="1.000+"),1,0)</x:f>
        <x:v>-5</x:v>
      </x:c>
      <x:c r="S161" s="33"/>
      <x:c r="T161" s="33"/>
      <x:c r="U161" s="33"/>
      <x:c r="V161" s="33"/>
    </x:row>
    <x:row r="162">
      <x:c r="A162" s="35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4" t="n">
        <x:f>IF(D162="",-3,0)+IF(OR(ISNUMBER(SEARCH("Biên Hòa",J162)),ISNUMBER(SEARCH("Long Thành",J162)),ISNUMBER(SEARCH("Nhơn Trạch",J162)),ISNUMBER(SEARCH("AMATA",J162)),ISNUMBER(SEARCH("Tam Phước",J162)),ISNUMBER(SEARCH("Giang Điền",J162))),3,-2)+IF(OR(I162="Hằng ngày",I162="2–3 lần/tuần"),3,0)+IF(L162="Có",2,0)+IF(K162&lt;&gt;"",2,0)+IF(OR(ISNUMBER(SEARCH("Thu mua",F162)),ISNUMBER(SEARCH("Quản lý",F162)),ISNUMBER(SEARCH("Giám đốc",F162))),2,0)+IF(OR(H162="200–499",H162="500–999",H162="1.000+"),1,0)</x:f>
        <x:v>-5</x:v>
      </x:c>
      <x:c r="S162" s="33"/>
      <x:c r="T162" s="33"/>
      <x:c r="U162" s="33"/>
      <x:c r="V162" s="33"/>
    </x:row>
    <x:row r="163">
      <x:c r="A163" s="35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4" t="n">
        <x:f>IF(D163="",-3,0)+IF(OR(ISNUMBER(SEARCH("Biên Hòa",J163)),ISNUMBER(SEARCH("Long Thành",J163)),ISNUMBER(SEARCH("Nhơn Trạch",J163)),ISNUMBER(SEARCH("AMATA",J163)),ISNUMBER(SEARCH("Tam Phước",J163)),ISNUMBER(SEARCH("Giang Điền",J163))),3,-2)+IF(OR(I163="Hằng ngày",I163="2–3 lần/tuần"),3,0)+IF(L163="Có",2,0)+IF(K163&lt;&gt;"",2,0)+IF(OR(ISNUMBER(SEARCH("Thu mua",F163)),ISNUMBER(SEARCH("Quản lý",F163)),ISNUMBER(SEARCH("Giám đốc",F163))),2,0)+IF(OR(H163="200–499",H163="500–999",H163="1.000+"),1,0)</x:f>
        <x:v>-5</x:v>
      </x:c>
      <x:c r="S163" s="33"/>
      <x:c r="T163" s="33"/>
      <x:c r="U163" s="33"/>
      <x:c r="V163" s="33"/>
    </x:row>
    <x:row r="164">
      <x:c r="A164" s="35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4" t="n">
        <x:f>IF(D164="",-3,0)+IF(OR(ISNUMBER(SEARCH("Biên Hòa",J164)),ISNUMBER(SEARCH("Long Thành",J164)),ISNUMBER(SEARCH("Nhơn Trạch",J164)),ISNUMBER(SEARCH("AMATA",J164)),ISNUMBER(SEARCH("Tam Phước",J164)),ISNUMBER(SEARCH("Giang Điền",J164))),3,-2)+IF(OR(I164="Hằng ngày",I164="2–3 lần/tuần"),3,0)+IF(L164="Có",2,0)+IF(K164&lt;&gt;"",2,0)+IF(OR(ISNUMBER(SEARCH("Thu mua",F164)),ISNUMBER(SEARCH("Quản lý",F164)),ISNUMBER(SEARCH("Giám đốc",F164))),2,0)+IF(OR(H164="200–499",H164="500–999",H164="1.000+"),1,0)</x:f>
        <x:v>-5</x:v>
      </x:c>
      <x:c r="S164" s="33"/>
      <x:c r="T164" s="33"/>
      <x:c r="U164" s="33"/>
      <x:c r="V164" s="33"/>
    </x:row>
    <x:row r="165">
      <x:c r="A165" s="35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4" t="n">
        <x:f>IF(D165="",-3,0)+IF(OR(ISNUMBER(SEARCH("Biên Hòa",J165)),ISNUMBER(SEARCH("Long Thành",J165)),ISNUMBER(SEARCH("Nhơn Trạch",J165)),ISNUMBER(SEARCH("AMATA",J165)),ISNUMBER(SEARCH("Tam Phước",J165)),ISNUMBER(SEARCH("Giang Điền",J165))),3,-2)+IF(OR(I165="Hằng ngày",I165="2–3 lần/tuần"),3,0)+IF(L165="Có",2,0)+IF(K165&lt;&gt;"",2,0)+IF(OR(ISNUMBER(SEARCH("Thu mua",F165)),ISNUMBER(SEARCH("Quản lý",F165)),ISNUMBER(SEARCH("Giám đốc",F165))),2,0)+IF(OR(H165="200–499",H165="500–999",H165="1.000+"),1,0)</x:f>
        <x:v>-5</x:v>
      </x:c>
      <x:c r="S165" s="33"/>
      <x:c r="T165" s="33"/>
      <x:c r="U165" s="33"/>
      <x:c r="V165" s="33"/>
    </x:row>
    <x:row r="166">
      <x:c r="A166" s="35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4" t="n">
        <x:f>IF(D166="",-3,0)+IF(OR(ISNUMBER(SEARCH("Biên Hòa",J166)),ISNUMBER(SEARCH("Long Thành",J166)),ISNUMBER(SEARCH("Nhơn Trạch",J166)),ISNUMBER(SEARCH("AMATA",J166)),ISNUMBER(SEARCH("Tam Phước",J166)),ISNUMBER(SEARCH("Giang Điền",J166))),3,-2)+IF(OR(I166="Hằng ngày",I166="2–3 lần/tuần"),3,0)+IF(L166="Có",2,0)+IF(K166&lt;&gt;"",2,0)+IF(OR(ISNUMBER(SEARCH("Thu mua",F166)),ISNUMBER(SEARCH("Quản lý",F166)),ISNUMBER(SEARCH("Giám đốc",F166))),2,0)+IF(OR(H166="200–499",H166="500–999",H166="1.000+"),1,0)</x:f>
        <x:v>-5</x:v>
      </x:c>
      <x:c r="S166" s="33"/>
      <x:c r="T166" s="33"/>
      <x:c r="U166" s="33"/>
      <x:c r="V166" s="33"/>
    </x:row>
    <x:row r="167">
      <x:c r="A167" s="35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4" t="n">
        <x:f>IF(D167="",-3,0)+IF(OR(ISNUMBER(SEARCH("Biên Hòa",J167)),ISNUMBER(SEARCH("Long Thành",J167)),ISNUMBER(SEARCH("Nhơn Trạch",J167)),ISNUMBER(SEARCH("AMATA",J167)),ISNUMBER(SEARCH("Tam Phước",J167)),ISNUMBER(SEARCH("Giang Điền",J167))),3,-2)+IF(OR(I167="Hằng ngày",I167="2–3 lần/tuần"),3,0)+IF(L167="Có",2,0)+IF(K167&lt;&gt;"",2,0)+IF(OR(ISNUMBER(SEARCH("Thu mua",F167)),ISNUMBER(SEARCH("Quản lý",F167)),ISNUMBER(SEARCH("Giám đốc",F167))),2,0)+IF(OR(H167="200–499",H167="500–999",H167="1.000+"),1,0)</x:f>
        <x:v>-5</x:v>
      </x:c>
      <x:c r="S167" s="33"/>
      <x:c r="T167" s="33"/>
      <x:c r="U167" s="33"/>
      <x:c r="V167" s="33"/>
    </x:row>
    <x:row r="168">
      <x:c r="A168" s="35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4" t="n">
        <x:f>IF(D168="",-3,0)+IF(OR(ISNUMBER(SEARCH("Biên Hòa",J168)),ISNUMBER(SEARCH("Long Thành",J168)),ISNUMBER(SEARCH("Nhơn Trạch",J168)),ISNUMBER(SEARCH("AMATA",J168)),ISNUMBER(SEARCH("Tam Phước",J168)),ISNUMBER(SEARCH("Giang Điền",J168))),3,-2)+IF(OR(I168="Hằng ngày",I168="2–3 lần/tuần"),3,0)+IF(L168="Có",2,0)+IF(K168&lt;&gt;"",2,0)+IF(OR(ISNUMBER(SEARCH("Thu mua",F168)),ISNUMBER(SEARCH("Quản lý",F168)),ISNUMBER(SEARCH("Giám đốc",F168))),2,0)+IF(OR(H168="200–499",H168="500–999",H168="1.000+"),1,0)</x:f>
        <x:v>-5</x:v>
      </x:c>
      <x:c r="S168" s="33"/>
      <x:c r="T168" s="33"/>
      <x:c r="U168" s="33"/>
      <x:c r="V168" s="33"/>
    </x:row>
    <x:row r="169">
      <x:c r="A169" s="35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4" t="n">
        <x:f>IF(D169="",-3,0)+IF(OR(ISNUMBER(SEARCH("Biên Hòa",J169)),ISNUMBER(SEARCH("Long Thành",J169)),ISNUMBER(SEARCH("Nhơn Trạch",J169)),ISNUMBER(SEARCH("AMATA",J169)),ISNUMBER(SEARCH("Tam Phước",J169)),ISNUMBER(SEARCH("Giang Điền",J169))),3,-2)+IF(OR(I169="Hằng ngày",I169="2–3 lần/tuần"),3,0)+IF(L169="Có",2,0)+IF(K169&lt;&gt;"",2,0)+IF(OR(ISNUMBER(SEARCH("Thu mua",F169)),ISNUMBER(SEARCH("Quản lý",F169)),ISNUMBER(SEARCH("Giám đốc",F169))),2,0)+IF(OR(H169="200–499",H169="500–999",H169="1.000+"),1,0)</x:f>
        <x:v>-5</x:v>
      </x:c>
      <x:c r="S169" s="33"/>
      <x:c r="T169" s="33"/>
      <x:c r="U169" s="33"/>
      <x:c r="V169" s="33"/>
    </x:row>
    <x:row r="170">
      <x:c r="A170" s="35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4" t="n">
        <x:f>IF(D170="",-3,0)+IF(OR(ISNUMBER(SEARCH("Biên Hòa",J170)),ISNUMBER(SEARCH("Long Thành",J170)),ISNUMBER(SEARCH("Nhơn Trạch",J170)),ISNUMBER(SEARCH("AMATA",J170)),ISNUMBER(SEARCH("Tam Phước",J170)),ISNUMBER(SEARCH("Giang Điền",J170))),3,-2)+IF(OR(I170="Hằng ngày",I170="2–3 lần/tuần"),3,0)+IF(L170="Có",2,0)+IF(K170&lt;&gt;"",2,0)+IF(OR(ISNUMBER(SEARCH("Thu mua",F170)),ISNUMBER(SEARCH("Quản lý",F170)),ISNUMBER(SEARCH("Giám đốc",F170))),2,0)+IF(OR(H170="200–499",H170="500–999",H170="1.000+"),1,0)</x:f>
        <x:v>-5</x:v>
      </x:c>
      <x:c r="S170" s="33"/>
      <x:c r="T170" s="33"/>
      <x:c r="U170" s="33"/>
      <x:c r="V170" s="33"/>
    </x:row>
    <x:row r="171">
      <x:c r="A171" s="35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4" t="n">
        <x:f>IF(D171="",-3,0)+IF(OR(ISNUMBER(SEARCH("Biên Hòa",J171)),ISNUMBER(SEARCH("Long Thành",J171)),ISNUMBER(SEARCH("Nhơn Trạch",J171)),ISNUMBER(SEARCH("AMATA",J171)),ISNUMBER(SEARCH("Tam Phước",J171)),ISNUMBER(SEARCH("Giang Điền",J171))),3,-2)+IF(OR(I171="Hằng ngày",I171="2–3 lần/tuần"),3,0)+IF(L171="Có",2,0)+IF(K171&lt;&gt;"",2,0)+IF(OR(ISNUMBER(SEARCH("Thu mua",F171)),ISNUMBER(SEARCH("Quản lý",F171)),ISNUMBER(SEARCH("Giám đốc",F171))),2,0)+IF(OR(H171="200–499",H171="500–999",H171="1.000+"),1,0)</x:f>
        <x:v>-5</x:v>
      </x:c>
      <x:c r="S171" s="33"/>
      <x:c r="T171" s="33"/>
      <x:c r="U171" s="33"/>
      <x:c r="V171" s="33"/>
    </x:row>
    <x:row r="172">
      <x:c r="A172" s="35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4" t="n">
        <x:f>IF(D172="",-3,0)+IF(OR(ISNUMBER(SEARCH("Biên Hòa",J172)),ISNUMBER(SEARCH("Long Thành",J172)),ISNUMBER(SEARCH("Nhơn Trạch",J172)),ISNUMBER(SEARCH("AMATA",J172)),ISNUMBER(SEARCH("Tam Phước",J172)),ISNUMBER(SEARCH("Giang Điền",J172))),3,-2)+IF(OR(I172="Hằng ngày",I172="2–3 lần/tuần"),3,0)+IF(L172="Có",2,0)+IF(K172&lt;&gt;"",2,0)+IF(OR(ISNUMBER(SEARCH("Thu mua",F172)),ISNUMBER(SEARCH("Quản lý",F172)),ISNUMBER(SEARCH("Giám đốc",F172))),2,0)+IF(OR(H172="200–499",H172="500–999",H172="1.000+"),1,0)</x:f>
        <x:v>-5</x:v>
      </x:c>
      <x:c r="S172" s="33"/>
      <x:c r="T172" s="33"/>
      <x:c r="U172" s="33"/>
      <x:c r="V172" s="33"/>
    </x:row>
    <x:row r="173">
      <x:c r="A173" s="35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4" t="n">
        <x:f>IF(D173="",-3,0)+IF(OR(ISNUMBER(SEARCH("Biên Hòa",J173)),ISNUMBER(SEARCH("Long Thành",J173)),ISNUMBER(SEARCH("Nhơn Trạch",J173)),ISNUMBER(SEARCH("AMATA",J173)),ISNUMBER(SEARCH("Tam Phước",J173)),ISNUMBER(SEARCH("Giang Điền",J173))),3,-2)+IF(OR(I173="Hằng ngày",I173="2–3 lần/tuần"),3,0)+IF(L173="Có",2,0)+IF(K173&lt;&gt;"",2,0)+IF(OR(ISNUMBER(SEARCH("Thu mua",F173)),ISNUMBER(SEARCH("Quản lý",F173)),ISNUMBER(SEARCH("Giám đốc",F173))),2,0)+IF(OR(H173="200–499",H173="500–999",H173="1.000+"),1,0)</x:f>
        <x:v>-5</x:v>
      </x:c>
      <x:c r="S173" s="33"/>
      <x:c r="T173" s="33"/>
      <x:c r="U173" s="33"/>
      <x:c r="V173" s="33"/>
    </x:row>
    <x:row r="174">
      <x:c r="A174" s="35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4" t="n">
        <x:f>IF(D174="",-3,0)+IF(OR(ISNUMBER(SEARCH("Biên Hòa",J174)),ISNUMBER(SEARCH("Long Thành",J174)),ISNUMBER(SEARCH("Nhơn Trạch",J174)),ISNUMBER(SEARCH("AMATA",J174)),ISNUMBER(SEARCH("Tam Phước",J174)),ISNUMBER(SEARCH("Giang Điền",J174))),3,-2)+IF(OR(I174="Hằng ngày",I174="2–3 lần/tuần"),3,0)+IF(L174="Có",2,0)+IF(K174&lt;&gt;"",2,0)+IF(OR(ISNUMBER(SEARCH("Thu mua",F174)),ISNUMBER(SEARCH("Quản lý",F174)),ISNUMBER(SEARCH("Giám đốc",F174))),2,0)+IF(OR(H174="200–499",H174="500–999",H174="1.000+"),1,0)</x:f>
        <x:v>-5</x:v>
      </x:c>
      <x:c r="S174" s="33"/>
      <x:c r="T174" s="33"/>
      <x:c r="U174" s="33"/>
      <x:c r="V174" s="33"/>
    </x:row>
    <x:row r="175">
      <x:c r="A175" s="35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4" t="n">
        <x:f>IF(D175="",-3,0)+IF(OR(ISNUMBER(SEARCH("Biên Hòa",J175)),ISNUMBER(SEARCH("Long Thành",J175)),ISNUMBER(SEARCH("Nhơn Trạch",J175)),ISNUMBER(SEARCH("AMATA",J175)),ISNUMBER(SEARCH("Tam Phước",J175)),ISNUMBER(SEARCH("Giang Điền",J175))),3,-2)+IF(OR(I175="Hằng ngày",I175="2–3 lần/tuần"),3,0)+IF(L175="Có",2,0)+IF(K175&lt;&gt;"",2,0)+IF(OR(ISNUMBER(SEARCH("Thu mua",F175)),ISNUMBER(SEARCH("Quản lý",F175)),ISNUMBER(SEARCH("Giám đốc",F175))),2,0)+IF(OR(H175="200–499",H175="500–999",H175="1.000+"),1,0)</x:f>
        <x:v>-5</x:v>
      </x:c>
      <x:c r="S175" s="33"/>
      <x:c r="T175" s="33"/>
      <x:c r="U175" s="33"/>
      <x:c r="V175" s="33"/>
    </x:row>
    <x:row r="176">
      <x:c r="A176" s="35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4" t="n">
        <x:f>IF(D176="",-3,0)+IF(OR(ISNUMBER(SEARCH("Biên Hòa",J176)),ISNUMBER(SEARCH("Long Thành",J176)),ISNUMBER(SEARCH("Nhơn Trạch",J176)),ISNUMBER(SEARCH("AMATA",J176)),ISNUMBER(SEARCH("Tam Phước",J176)),ISNUMBER(SEARCH("Giang Điền",J176))),3,-2)+IF(OR(I176="Hằng ngày",I176="2–3 lần/tuần"),3,0)+IF(L176="Có",2,0)+IF(K176&lt;&gt;"",2,0)+IF(OR(ISNUMBER(SEARCH("Thu mua",F176)),ISNUMBER(SEARCH("Quản lý",F176)),ISNUMBER(SEARCH("Giám đốc",F176))),2,0)+IF(OR(H176="200–499",H176="500–999",H176="1.000+"),1,0)</x:f>
        <x:v>-5</x:v>
      </x:c>
      <x:c r="S176" s="33"/>
      <x:c r="T176" s="33"/>
      <x:c r="U176" s="33"/>
      <x:c r="V176" s="33"/>
    </x:row>
    <x:row r="177">
      <x:c r="A177" s="35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4" t="n">
        <x:f>IF(D177="",-3,0)+IF(OR(ISNUMBER(SEARCH("Biên Hòa",J177)),ISNUMBER(SEARCH("Long Thành",J177)),ISNUMBER(SEARCH("Nhơn Trạch",J177)),ISNUMBER(SEARCH("AMATA",J177)),ISNUMBER(SEARCH("Tam Phước",J177)),ISNUMBER(SEARCH("Giang Điền",J177))),3,-2)+IF(OR(I177="Hằng ngày",I177="2–3 lần/tuần"),3,0)+IF(L177="Có",2,0)+IF(K177&lt;&gt;"",2,0)+IF(OR(ISNUMBER(SEARCH("Thu mua",F177)),ISNUMBER(SEARCH("Quản lý",F177)),ISNUMBER(SEARCH("Giám đốc",F177))),2,0)+IF(OR(H177="200–499",H177="500–999",H177="1.000+"),1,0)</x:f>
        <x:v>-5</x:v>
      </x:c>
      <x:c r="S177" s="33"/>
      <x:c r="T177" s="33"/>
      <x:c r="U177" s="33"/>
      <x:c r="V177" s="33"/>
    </x:row>
    <x:row r="178">
      <x:c r="A178" s="35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4" t="n">
        <x:f>IF(D178="",-3,0)+IF(OR(ISNUMBER(SEARCH("Biên Hòa",J178)),ISNUMBER(SEARCH("Long Thành",J178)),ISNUMBER(SEARCH("Nhơn Trạch",J178)),ISNUMBER(SEARCH("AMATA",J178)),ISNUMBER(SEARCH("Tam Phước",J178)),ISNUMBER(SEARCH("Giang Điền",J178))),3,-2)+IF(OR(I178="Hằng ngày",I178="2–3 lần/tuần"),3,0)+IF(L178="Có",2,0)+IF(K178&lt;&gt;"",2,0)+IF(OR(ISNUMBER(SEARCH("Thu mua",F178)),ISNUMBER(SEARCH("Quản lý",F178)),ISNUMBER(SEARCH("Giám đốc",F178))),2,0)+IF(OR(H178="200–499",H178="500–999",H178="1.000+"),1,0)</x:f>
        <x:v>-5</x:v>
      </x:c>
      <x:c r="S178" s="33"/>
      <x:c r="T178" s="33"/>
      <x:c r="U178" s="33"/>
      <x:c r="V178" s="33"/>
    </x:row>
    <x:row r="179">
      <x:c r="A179" s="35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4" t="n">
        <x:f>IF(D179="",-3,0)+IF(OR(ISNUMBER(SEARCH("Biên Hòa",J179)),ISNUMBER(SEARCH("Long Thành",J179)),ISNUMBER(SEARCH("Nhơn Trạch",J179)),ISNUMBER(SEARCH("AMATA",J179)),ISNUMBER(SEARCH("Tam Phước",J179)),ISNUMBER(SEARCH("Giang Điền",J179))),3,-2)+IF(OR(I179="Hằng ngày",I179="2–3 lần/tuần"),3,0)+IF(L179="Có",2,0)+IF(K179&lt;&gt;"",2,0)+IF(OR(ISNUMBER(SEARCH("Thu mua",F179)),ISNUMBER(SEARCH("Quản lý",F179)),ISNUMBER(SEARCH("Giám đốc",F179))),2,0)+IF(OR(H179="200–499",H179="500–999",H179="1.000+"),1,0)</x:f>
        <x:v>-5</x:v>
      </x:c>
      <x:c r="S179" s="33"/>
      <x:c r="T179" s="33"/>
      <x:c r="U179" s="33"/>
      <x:c r="V179" s="33"/>
    </x:row>
    <x:row r="180">
      <x:c r="A180" s="35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4" t="n">
        <x:f>IF(D180="",-3,0)+IF(OR(ISNUMBER(SEARCH("Biên Hòa",J180)),ISNUMBER(SEARCH("Long Thành",J180)),ISNUMBER(SEARCH("Nhơn Trạch",J180)),ISNUMBER(SEARCH("AMATA",J180)),ISNUMBER(SEARCH("Tam Phước",J180)),ISNUMBER(SEARCH("Giang Điền",J180))),3,-2)+IF(OR(I180="Hằng ngày",I180="2–3 lần/tuần"),3,0)+IF(L180="Có",2,0)+IF(K180&lt;&gt;"",2,0)+IF(OR(ISNUMBER(SEARCH("Thu mua",F180)),ISNUMBER(SEARCH("Quản lý",F180)),ISNUMBER(SEARCH("Giám đốc",F180))),2,0)+IF(OR(H180="200–499",H180="500–999",H180="1.000+"),1,0)</x:f>
        <x:v>-5</x:v>
      </x:c>
      <x:c r="S180" s="33"/>
      <x:c r="T180" s="33"/>
      <x:c r="U180" s="33"/>
      <x:c r="V180" s="33"/>
    </x:row>
    <x:row r="181">
      <x:c r="A181" s="35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4" t="n">
        <x:f>IF(D181="",-3,0)+IF(OR(ISNUMBER(SEARCH("Biên Hòa",J181)),ISNUMBER(SEARCH("Long Thành",J181)),ISNUMBER(SEARCH("Nhơn Trạch",J181)),ISNUMBER(SEARCH("AMATA",J181)),ISNUMBER(SEARCH("Tam Phước",J181)),ISNUMBER(SEARCH("Giang Điền",J181))),3,-2)+IF(OR(I181="Hằng ngày",I181="2–3 lần/tuần"),3,0)+IF(L181="Có",2,0)+IF(K181&lt;&gt;"",2,0)+IF(OR(ISNUMBER(SEARCH("Thu mua",F181)),ISNUMBER(SEARCH("Quản lý",F181)),ISNUMBER(SEARCH("Giám đốc",F181))),2,0)+IF(OR(H181="200–499",H181="500–999",H181="1.000+"),1,0)</x:f>
        <x:v>-5</x:v>
      </x:c>
      <x:c r="S181" s="33"/>
      <x:c r="T181" s="33"/>
      <x:c r="U181" s="33"/>
      <x:c r="V181" s="33"/>
    </x:row>
    <x:row r="182">
      <x:c r="A182" s="35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4" t="n">
        <x:f>IF(D182="",-3,0)+IF(OR(ISNUMBER(SEARCH("Biên Hòa",J182)),ISNUMBER(SEARCH("Long Thành",J182)),ISNUMBER(SEARCH("Nhơn Trạch",J182)),ISNUMBER(SEARCH("AMATA",J182)),ISNUMBER(SEARCH("Tam Phước",J182)),ISNUMBER(SEARCH("Giang Điền",J182))),3,-2)+IF(OR(I182="Hằng ngày",I182="2–3 lần/tuần"),3,0)+IF(L182="Có",2,0)+IF(K182&lt;&gt;"",2,0)+IF(OR(ISNUMBER(SEARCH("Thu mua",F182)),ISNUMBER(SEARCH("Quản lý",F182)),ISNUMBER(SEARCH("Giám đốc",F182))),2,0)+IF(OR(H182="200–499",H182="500–999",H182="1.000+"),1,0)</x:f>
        <x:v>-5</x:v>
      </x:c>
      <x:c r="S182" s="33"/>
      <x:c r="T182" s="33"/>
      <x:c r="U182" s="33"/>
      <x:c r="V182" s="33"/>
    </x:row>
    <x:row r="183">
      <x:c r="A183" s="35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4" t="n">
        <x:f>IF(D183="",-3,0)+IF(OR(ISNUMBER(SEARCH("Biên Hòa",J183)),ISNUMBER(SEARCH("Long Thành",J183)),ISNUMBER(SEARCH("Nhơn Trạch",J183)),ISNUMBER(SEARCH("AMATA",J183)),ISNUMBER(SEARCH("Tam Phước",J183)),ISNUMBER(SEARCH("Giang Điền",J183))),3,-2)+IF(OR(I183="Hằng ngày",I183="2–3 lần/tuần"),3,0)+IF(L183="Có",2,0)+IF(K183&lt;&gt;"",2,0)+IF(OR(ISNUMBER(SEARCH("Thu mua",F183)),ISNUMBER(SEARCH("Quản lý",F183)),ISNUMBER(SEARCH("Giám đốc",F183))),2,0)+IF(OR(H183="200–499",H183="500–999",H183="1.000+"),1,0)</x:f>
        <x:v>-5</x:v>
      </x:c>
      <x:c r="S183" s="33"/>
      <x:c r="T183" s="33"/>
      <x:c r="U183" s="33"/>
      <x:c r="V183" s="33"/>
    </x:row>
    <x:row r="184">
      <x:c r="A184" s="35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4" t="n">
        <x:f>IF(D184="",-3,0)+IF(OR(ISNUMBER(SEARCH("Biên Hòa",J184)),ISNUMBER(SEARCH("Long Thành",J184)),ISNUMBER(SEARCH("Nhơn Trạch",J184)),ISNUMBER(SEARCH("AMATA",J184)),ISNUMBER(SEARCH("Tam Phước",J184)),ISNUMBER(SEARCH("Giang Điền",J184))),3,-2)+IF(OR(I184="Hằng ngày",I184="2–3 lần/tuần"),3,0)+IF(L184="Có",2,0)+IF(K184&lt;&gt;"",2,0)+IF(OR(ISNUMBER(SEARCH("Thu mua",F184)),ISNUMBER(SEARCH("Quản lý",F184)),ISNUMBER(SEARCH("Giám đốc",F184))),2,0)+IF(OR(H184="200–499",H184="500–999",H184="1.000+"),1,0)</x:f>
        <x:v>-5</x:v>
      </x:c>
      <x:c r="S184" s="33"/>
      <x:c r="T184" s="33"/>
      <x:c r="U184" s="33"/>
      <x:c r="V184" s="33"/>
    </x:row>
    <x:row r="185">
      <x:c r="A185" s="35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4" t="n">
        <x:f>IF(D185="",-3,0)+IF(OR(ISNUMBER(SEARCH("Biên Hòa",J185)),ISNUMBER(SEARCH("Long Thành",J185)),ISNUMBER(SEARCH("Nhơn Trạch",J185)),ISNUMBER(SEARCH("AMATA",J185)),ISNUMBER(SEARCH("Tam Phước",J185)),ISNUMBER(SEARCH("Giang Điền",J185))),3,-2)+IF(OR(I185="Hằng ngày",I185="2–3 lần/tuần"),3,0)+IF(L185="Có",2,0)+IF(K185&lt;&gt;"",2,0)+IF(OR(ISNUMBER(SEARCH("Thu mua",F185)),ISNUMBER(SEARCH("Quản lý",F185)),ISNUMBER(SEARCH("Giám đốc",F185))),2,0)+IF(OR(H185="200–499",H185="500–999",H185="1.000+"),1,0)</x:f>
        <x:v>-5</x:v>
      </x:c>
      <x:c r="S185" s="33"/>
      <x:c r="T185" s="33"/>
      <x:c r="U185" s="33"/>
      <x:c r="V185" s="33"/>
    </x:row>
    <x:row r="186">
      <x:c r="A186" s="35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4" t="n">
        <x:f>IF(D186="",-3,0)+IF(OR(ISNUMBER(SEARCH("Biên Hòa",J186)),ISNUMBER(SEARCH("Long Thành",J186)),ISNUMBER(SEARCH("Nhơn Trạch",J186)),ISNUMBER(SEARCH("AMATA",J186)),ISNUMBER(SEARCH("Tam Phước",J186)),ISNUMBER(SEARCH("Giang Điền",J186))),3,-2)+IF(OR(I186="Hằng ngày",I186="2–3 lần/tuần"),3,0)+IF(L186="Có",2,0)+IF(K186&lt;&gt;"",2,0)+IF(OR(ISNUMBER(SEARCH("Thu mua",F186)),ISNUMBER(SEARCH("Quản lý",F186)),ISNUMBER(SEARCH("Giám đốc",F186))),2,0)+IF(OR(H186="200–499",H186="500–999",H186="1.000+"),1,0)</x:f>
        <x:v>-5</x:v>
      </x:c>
      <x:c r="S186" s="33"/>
      <x:c r="T186" s="33"/>
      <x:c r="U186" s="33"/>
      <x:c r="V186" s="33"/>
    </x:row>
    <x:row r="187">
      <x:c r="A187" s="35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4" t="n">
        <x:f>IF(D187="",-3,0)+IF(OR(ISNUMBER(SEARCH("Biên Hòa",J187)),ISNUMBER(SEARCH("Long Thành",J187)),ISNUMBER(SEARCH("Nhơn Trạch",J187)),ISNUMBER(SEARCH("AMATA",J187)),ISNUMBER(SEARCH("Tam Phước",J187)),ISNUMBER(SEARCH("Giang Điền",J187))),3,-2)+IF(OR(I187="Hằng ngày",I187="2–3 lần/tuần"),3,0)+IF(L187="Có",2,0)+IF(K187&lt;&gt;"",2,0)+IF(OR(ISNUMBER(SEARCH("Thu mua",F187)),ISNUMBER(SEARCH("Quản lý",F187)),ISNUMBER(SEARCH("Giám đốc",F187))),2,0)+IF(OR(H187="200–499",H187="500–999",H187="1.000+"),1,0)</x:f>
        <x:v>-5</x:v>
      </x:c>
      <x:c r="S187" s="33"/>
      <x:c r="T187" s="33"/>
      <x:c r="U187" s="33"/>
      <x:c r="V187" s="33"/>
    </x:row>
    <x:row r="188">
      <x:c r="A188" s="35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4" t="n">
        <x:f>IF(D188="",-3,0)+IF(OR(ISNUMBER(SEARCH("Biên Hòa",J188)),ISNUMBER(SEARCH("Long Thành",J188)),ISNUMBER(SEARCH("Nhơn Trạch",J188)),ISNUMBER(SEARCH("AMATA",J188)),ISNUMBER(SEARCH("Tam Phước",J188)),ISNUMBER(SEARCH("Giang Điền",J188))),3,-2)+IF(OR(I188="Hằng ngày",I188="2–3 lần/tuần"),3,0)+IF(L188="Có",2,0)+IF(K188&lt;&gt;"",2,0)+IF(OR(ISNUMBER(SEARCH("Thu mua",F188)),ISNUMBER(SEARCH("Quản lý",F188)),ISNUMBER(SEARCH("Giám đốc",F188))),2,0)+IF(OR(H188="200–499",H188="500–999",H188="1.000+"),1,0)</x:f>
        <x:v>-5</x:v>
      </x:c>
      <x:c r="S188" s="33"/>
      <x:c r="T188" s="33"/>
      <x:c r="U188" s="33"/>
      <x:c r="V188" s="33"/>
    </x:row>
    <x:row r="189">
      <x:c r="A189" s="35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4" t="n">
        <x:f>IF(D189="",-3,0)+IF(OR(ISNUMBER(SEARCH("Biên Hòa",J189)),ISNUMBER(SEARCH("Long Thành",J189)),ISNUMBER(SEARCH("Nhơn Trạch",J189)),ISNUMBER(SEARCH("AMATA",J189)),ISNUMBER(SEARCH("Tam Phước",J189)),ISNUMBER(SEARCH("Giang Điền",J189))),3,-2)+IF(OR(I189="Hằng ngày",I189="2–3 lần/tuần"),3,0)+IF(L189="Có",2,0)+IF(K189&lt;&gt;"",2,0)+IF(OR(ISNUMBER(SEARCH("Thu mua",F189)),ISNUMBER(SEARCH("Quản lý",F189)),ISNUMBER(SEARCH("Giám đốc",F189))),2,0)+IF(OR(H189="200–499",H189="500–999",H189="1.000+"),1,0)</x:f>
        <x:v>-5</x:v>
      </x:c>
      <x:c r="S189" s="33"/>
      <x:c r="T189" s="33"/>
      <x:c r="U189" s="33"/>
      <x:c r="V189" s="33"/>
    </x:row>
    <x:row r="190">
      <x:c r="A190" s="35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4" t="n">
        <x:f>IF(D190="",-3,0)+IF(OR(ISNUMBER(SEARCH("Biên Hòa",J190)),ISNUMBER(SEARCH("Long Thành",J190)),ISNUMBER(SEARCH("Nhơn Trạch",J190)),ISNUMBER(SEARCH("AMATA",J190)),ISNUMBER(SEARCH("Tam Phước",J190)),ISNUMBER(SEARCH("Giang Điền",J190))),3,-2)+IF(OR(I190="Hằng ngày",I190="2–3 lần/tuần"),3,0)+IF(L190="Có",2,0)+IF(K190&lt;&gt;"",2,0)+IF(OR(ISNUMBER(SEARCH("Thu mua",F190)),ISNUMBER(SEARCH("Quản lý",F190)),ISNUMBER(SEARCH("Giám đốc",F190))),2,0)+IF(OR(H190="200–499",H190="500–999",H190="1.000+"),1,0)</x:f>
        <x:v>-5</x:v>
      </x:c>
      <x:c r="S190" s="33"/>
      <x:c r="T190" s="33"/>
      <x:c r="U190" s="33"/>
      <x:c r="V190" s="33"/>
    </x:row>
    <x:row r="191">
      <x:c r="A191" s="35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4" t="n">
        <x:f>IF(D191="",-3,0)+IF(OR(ISNUMBER(SEARCH("Biên Hòa",J191)),ISNUMBER(SEARCH("Long Thành",J191)),ISNUMBER(SEARCH("Nhơn Trạch",J191)),ISNUMBER(SEARCH("AMATA",J191)),ISNUMBER(SEARCH("Tam Phước",J191)),ISNUMBER(SEARCH("Giang Điền",J191))),3,-2)+IF(OR(I191="Hằng ngày",I191="2–3 lần/tuần"),3,0)+IF(L191="Có",2,0)+IF(K191&lt;&gt;"",2,0)+IF(OR(ISNUMBER(SEARCH("Thu mua",F191)),ISNUMBER(SEARCH("Quản lý",F191)),ISNUMBER(SEARCH("Giám đốc",F191))),2,0)+IF(OR(H191="200–499",H191="500–999",H191="1.000+"),1,0)</x:f>
        <x:v>-5</x:v>
      </x:c>
      <x:c r="S191" s="33"/>
      <x:c r="T191" s="33"/>
      <x:c r="U191" s="33"/>
      <x:c r="V191" s="33"/>
    </x:row>
    <x:row r="192">
      <x:c r="A192" s="35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4" t="n">
        <x:f>IF(D192="",-3,0)+IF(OR(ISNUMBER(SEARCH("Biên Hòa",J192)),ISNUMBER(SEARCH("Long Thành",J192)),ISNUMBER(SEARCH("Nhơn Trạch",J192)),ISNUMBER(SEARCH("AMATA",J192)),ISNUMBER(SEARCH("Tam Phước",J192)),ISNUMBER(SEARCH("Giang Điền",J192))),3,-2)+IF(OR(I192="Hằng ngày",I192="2–3 lần/tuần"),3,0)+IF(L192="Có",2,0)+IF(K192&lt;&gt;"",2,0)+IF(OR(ISNUMBER(SEARCH("Thu mua",F192)),ISNUMBER(SEARCH("Quản lý",F192)),ISNUMBER(SEARCH("Giám đốc",F192))),2,0)+IF(OR(H192="200–499",H192="500–999",H192="1.000+"),1,0)</x:f>
        <x:v>-5</x:v>
      </x:c>
      <x:c r="S192" s="33"/>
      <x:c r="T192" s="33"/>
      <x:c r="U192" s="33"/>
      <x:c r="V192" s="33"/>
    </x:row>
    <x:row r="193">
      <x:c r="A193" s="35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4" t="n">
        <x:f>IF(D193="",-3,0)+IF(OR(ISNUMBER(SEARCH("Biên Hòa",J193)),ISNUMBER(SEARCH("Long Thành",J193)),ISNUMBER(SEARCH("Nhơn Trạch",J193)),ISNUMBER(SEARCH("AMATA",J193)),ISNUMBER(SEARCH("Tam Phước",J193)),ISNUMBER(SEARCH("Giang Điền",J193))),3,-2)+IF(OR(I193="Hằng ngày",I193="2–3 lần/tuần"),3,0)+IF(L193="Có",2,0)+IF(K193&lt;&gt;"",2,0)+IF(OR(ISNUMBER(SEARCH("Thu mua",F193)),ISNUMBER(SEARCH("Quản lý",F193)),ISNUMBER(SEARCH("Giám đốc",F193))),2,0)+IF(OR(H193="200–499",H193="500–999",H193="1.000+"),1,0)</x:f>
        <x:v>-5</x:v>
      </x:c>
      <x:c r="S193" s="33"/>
      <x:c r="T193" s="33"/>
      <x:c r="U193" s="33"/>
      <x:c r="V193" s="33"/>
    </x:row>
    <x:row r="194">
      <x:c r="A194" s="35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4" t="n">
        <x:f>IF(D194="",-3,0)+IF(OR(ISNUMBER(SEARCH("Biên Hòa",J194)),ISNUMBER(SEARCH("Long Thành",J194)),ISNUMBER(SEARCH("Nhơn Trạch",J194)),ISNUMBER(SEARCH("AMATA",J194)),ISNUMBER(SEARCH("Tam Phước",J194)),ISNUMBER(SEARCH("Giang Điền",J194))),3,-2)+IF(OR(I194="Hằng ngày",I194="2–3 lần/tuần"),3,0)+IF(L194="Có",2,0)+IF(K194&lt;&gt;"",2,0)+IF(OR(ISNUMBER(SEARCH("Thu mua",F194)),ISNUMBER(SEARCH("Quản lý",F194)),ISNUMBER(SEARCH("Giám đốc",F194))),2,0)+IF(OR(H194="200–499",H194="500–999",H194="1.000+"),1,0)</x:f>
        <x:v>-5</x:v>
      </x:c>
      <x:c r="S194" s="33"/>
      <x:c r="T194" s="33"/>
      <x:c r="U194" s="33"/>
      <x:c r="V194" s="33"/>
    </x:row>
    <x:row r="195">
      <x:c r="A195" s="35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4" t="n">
        <x:f>IF(D195="",-3,0)+IF(OR(ISNUMBER(SEARCH("Biên Hòa",J195)),ISNUMBER(SEARCH("Long Thành",J195)),ISNUMBER(SEARCH("Nhơn Trạch",J195)),ISNUMBER(SEARCH("AMATA",J195)),ISNUMBER(SEARCH("Tam Phước",J195)),ISNUMBER(SEARCH("Giang Điền",J195))),3,-2)+IF(OR(I195="Hằng ngày",I195="2–3 lần/tuần"),3,0)+IF(L195="Có",2,0)+IF(K195&lt;&gt;"",2,0)+IF(OR(ISNUMBER(SEARCH("Thu mua",F195)),ISNUMBER(SEARCH("Quản lý",F195)),ISNUMBER(SEARCH("Giám đốc",F195))),2,0)+IF(OR(H195="200–499",H195="500–999",H195="1.000+"),1,0)</x:f>
        <x:v>-5</x:v>
      </x:c>
      <x:c r="S195" s="33"/>
      <x:c r="T195" s="33"/>
      <x:c r="U195" s="33"/>
      <x:c r="V195" s="33"/>
    </x:row>
    <x:row r="196">
      <x:c r="A196" s="35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4" t="n">
        <x:f>IF(D196="",-3,0)+IF(OR(ISNUMBER(SEARCH("Biên Hòa",J196)),ISNUMBER(SEARCH("Long Thành",J196)),ISNUMBER(SEARCH("Nhơn Trạch",J196)),ISNUMBER(SEARCH("AMATA",J196)),ISNUMBER(SEARCH("Tam Phước",J196)),ISNUMBER(SEARCH("Giang Điền",J196))),3,-2)+IF(OR(I196="Hằng ngày",I196="2–3 lần/tuần"),3,0)+IF(L196="Có",2,0)+IF(K196&lt;&gt;"",2,0)+IF(OR(ISNUMBER(SEARCH("Thu mua",F196)),ISNUMBER(SEARCH("Quản lý",F196)),ISNUMBER(SEARCH("Giám đốc",F196))),2,0)+IF(OR(H196="200–499",H196="500–999",H196="1.000+"),1,0)</x:f>
        <x:v>-5</x:v>
      </x:c>
      <x:c r="S196" s="33"/>
      <x:c r="T196" s="33"/>
      <x:c r="U196" s="33"/>
      <x:c r="V196" s="33"/>
    </x:row>
    <x:row r="197">
      <x:c r="A197" s="35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4" t="n">
        <x:f>IF(D197="",-3,0)+IF(OR(ISNUMBER(SEARCH("Biên Hòa",J197)),ISNUMBER(SEARCH("Long Thành",J197)),ISNUMBER(SEARCH("Nhơn Trạch",J197)),ISNUMBER(SEARCH("AMATA",J197)),ISNUMBER(SEARCH("Tam Phước",J197)),ISNUMBER(SEARCH("Giang Điền",J197))),3,-2)+IF(OR(I197="Hằng ngày",I197="2–3 lần/tuần"),3,0)+IF(L197="Có",2,0)+IF(K197&lt;&gt;"",2,0)+IF(OR(ISNUMBER(SEARCH("Thu mua",F197)),ISNUMBER(SEARCH("Quản lý",F197)),ISNUMBER(SEARCH("Giám đốc",F197))),2,0)+IF(OR(H197="200–499",H197="500–999",H197="1.000+"),1,0)</x:f>
        <x:v>-5</x:v>
      </x:c>
      <x:c r="S197" s="33"/>
      <x:c r="T197" s="33"/>
      <x:c r="U197" s="33"/>
      <x:c r="V197" s="33"/>
    </x:row>
    <x:row r="198">
      <x:c r="A198" s="35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4" t="n">
        <x:f>IF(D198="",-3,0)+IF(OR(ISNUMBER(SEARCH("Biên Hòa",J198)),ISNUMBER(SEARCH("Long Thành",J198)),ISNUMBER(SEARCH("Nhơn Trạch",J198)),ISNUMBER(SEARCH("AMATA",J198)),ISNUMBER(SEARCH("Tam Phước",J198)),ISNUMBER(SEARCH("Giang Điền",J198))),3,-2)+IF(OR(I198="Hằng ngày",I198="2–3 lần/tuần"),3,0)+IF(L198="Có",2,0)+IF(K198&lt;&gt;"",2,0)+IF(OR(ISNUMBER(SEARCH("Thu mua",F198)),ISNUMBER(SEARCH("Quản lý",F198)),ISNUMBER(SEARCH("Giám đốc",F198))),2,0)+IF(OR(H198="200–499",H198="500–999",H198="1.000+"),1,0)</x:f>
        <x:v>-5</x:v>
      </x:c>
      <x:c r="S198" s="33"/>
      <x:c r="T198" s="33"/>
      <x:c r="U198" s="33"/>
      <x:c r="V198" s="33"/>
    </x:row>
    <x:row r="199">
      <x:c r="A199" s="35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4" t="n">
        <x:f>IF(D199="",-3,0)+IF(OR(ISNUMBER(SEARCH("Biên Hòa",J199)),ISNUMBER(SEARCH("Long Thành",J199)),ISNUMBER(SEARCH("Nhơn Trạch",J199)),ISNUMBER(SEARCH("AMATA",J199)),ISNUMBER(SEARCH("Tam Phước",J199)),ISNUMBER(SEARCH("Giang Điền",J199))),3,-2)+IF(OR(I199="Hằng ngày",I199="2–3 lần/tuần"),3,0)+IF(L199="Có",2,0)+IF(K199&lt;&gt;"",2,0)+IF(OR(ISNUMBER(SEARCH("Thu mua",F199)),ISNUMBER(SEARCH("Quản lý",F199)),ISNUMBER(SEARCH("Giám đốc",F199))),2,0)+IF(OR(H199="200–499",H199="500–999",H199="1.000+"),1,0)</x:f>
        <x:v>-5</x:v>
      </x:c>
      <x:c r="S199" s="33"/>
      <x:c r="T199" s="33"/>
      <x:c r="U199" s="33"/>
      <x:c r="V199" s="33"/>
    </x:row>
    <x:row r="200">
      <x:c r="A200" s="35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4" t="n">
        <x:f>IF(D200="",-3,0)+IF(OR(ISNUMBER(SEARCH("Biên Hòa",J200)),ISNUMBER(SEARCH("Long Thành",J200)),ISNUMBER(SEARCH("Nhơn Trạch",J200)),ISNUMBER(SEARCH("AMATA",J200)),ISNUMBER(SEARCH("Tam Phước",J200)),ISNUMBER(SEARCH("Giang Điền",J200))),3,-2)+IF(OR(I200="Hằng ngày",I200="2–3 lần/tuần"),3,0)+IF(L200="Có",2,0)+IF(K200&lt;&gt;"",2,0)+IF(OR(ISNUMBER(SEARCH("Thu mua",F200)),ISNUMBER(SEARCH("Quản lý",F200)),ISNUMBER(SEARCH("Giám đốc",F200))),2,0)+IF(OR(H200="200–499",H200="500–999",H200="1.000+"),1,0)</x:f>
        <x:v>-5</x:v>
      </x:c>
      <x:c r="S200" s="33"/>
      <x:c r="T200" s="33"/>
      <x:c r="U200" s="33"/>
      <x:c r="V200" s="33"/>
    </x:row>
    <x:row r="201">
      <x:c r="A201" s="35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4" t="n">
        <x:f>IF(D201="",-3,0)+IF(OR(ISNUMBER(SEARCH("Biên Hòa",J201)),ISNUMBER(SEARCH("Long Thành",J201)),ISNUMBER(SEARCH("Nhơn Trạch",J201)),ISNUMBER(SEARCH("AMATA",J201)),ISNUMBER(SEARCH("Tam Phước",J201)),ISNUMBER(SEARCH("Giang Điền",J201))),3,-2)+IF(OR(I201="Hằng ngày",I201="2–3 lần/tuần"),3,0)+IF(L201="Có",2,0)+IF(K201&lt;&gt;"",2,0)+IF(OR(ISNUMBER(SEARCH("Thu mua",F201)),ISNUMBER(SEARCH("Quản lý",F201)),ISNUMBER(SEARCH("Giám đốc",F201))),2,0)+IF(OR(H201="200–499",H201="500–999",H201="1.000+"),1,0)</x:f>
        <x:v>-5</x:v>
      </x:c>
      <x:c r="S201" s="33"/>
      <x:c r="T201" s="33"/>
      <x:c r="U201" s="33"/>
      <x:c r="V201" s="33"/>
    </x:row>
    <x:row r="202">
      <x:c r="A202" s="35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4" t="n">
        <x:f>IF(D202="",-3,0)+IF(OR(ISNUMBER(SEARCH("Biên Hòa",J202)),ISNUMBER(SEARCH("Long Thành",J202)),ISNUMBER(SEARCH("Nhơn Trạch",J202)),ISNUMBER(SEARCH("AMATA",J202)),ISNUMBER(SEARCH("Tam Phước",J202)),ISNUMBER(SEARCH("Giang Điền",J202))),3,-2)+IF(OR(I202="Hằng ngày",I202="2–3 lần/tuần"),3,0)+IF(L202="Có",2,0)+IF(K202&lt;&gt;"",2,0)+IF(OR(ISNUMBER(SEARCH("Thu mua",F202)),ISNUMBER(SEARCH("Quản lý",F202)),ISNUMBER(SEARCH("Giám đốc",F202))),2,0)+IF(OR(H202="200–499",H202="500–999",H202="1.000+"),1,0)</x:f>
        <x:v>-5</x:v>
      </x:c>
      <x:c r="S202" s="33"/>
      <x:c r="T202" s="33"/>
      <x:c r="U202" s="33"/>
      <x:c r="V202" s="33"/>
    </x:row>
  </x:sheetData>
  <x:mergeCells>
    <x:mergeCell ref="A1:V1"/>
  </x:mergeCells>
  <x:dataValidations count="2">
    <x:dataValidation type="list" sqref="S3:S202">
      <x:formula1>"Lead,QualifiedLead,QuoteRequested,Opportunity,Won,Unqualified"</x:formula1>
    </x:dataValidation>
    <x:dataValidation type="list" sqref="M3:M202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18" hidden="0" customWidth="1"/>
  </x:cols>
  <x:sheetData>
    <x:row r="1" ht="34" customHeight="1">
      <x:c r="A1" s="3" t="str">
        <x:v>SETUP, ĐỊNH NGHĨA VÀ NGUỒN</x:v>
      </x:c>
      <x:c r="B1" s="3" t="str">
        <x:v>SETUP, ĐỊNH NGHĨA VÀ NGUỒN</x:v>
      </x:c>
      <x:c r="C1" s="3" t="str">
        <x:v>SETUP, ĐỊNH NGHĨA VÀ NGUỒN</x:v>
      </x:c>
      <x:c r="D1" s="3" t="str">
        <x:v>SETUP, ĐỊNH NGHĨA VÀ NGUỒN</x:v>
      </x:c>
    </x:row>
    <x:row r="3">
      <x:c r="A3" s="18" t="str">
        <x:v>Hạng mục</x:v>
      </x:c>
      <x:c r="B3" s="19" t="str">
        <x:v>Giá trị</x:v>
      </x:c>
      <x:c r="C3" s="19" t="str">
        <x:v>Owner</x:v>
      </x:c>
      <x:c r="D3" s="20" t="str">
        <x:v>Trạng thái</x:v>
      </x:c>
    </x:row>
    <x:row r="4">
      <x:c r="A4" s="21" t="str">
        <x:v>Ngân sách tháng</x:v>
      </x:c>
      <x:c r="B4" s="32" t="n">
        <x:v>6000000</x:v>
      </x:c>
      <x:c r="C4" s="21" t="str">
        <x:v>Marketing</x:v>
      </x:c>
      <x:c r="D4" s="21" t="str">
        <x:v>Locked</x:v>
      </x:c>
    </x:row>
    <x:row r="5">
      <x:c r="A5" s="21" t="str">
        <x:v>SLA xác nhận</x:v>
      </x:c>
      <x:c r="B5" s="31" t="str">
        <x:v>30 phút</x:v>
      </x:c>
      <x:c r="C5" s="21" t="str">
        <x:v>Sales</x:v>
      </x:c>
      <x:c r="D5" s="21" t="str">
        <x:v>Locked</x:v>
      </x:c>
    </x:row>
    <x:row r="6">
      <x:c r="A6" s="21" t="str">
        <x:v>SLA báo giá</x:v>
      </x:c>
      <x:c r="B6" s="31" t="str">
        <x:v>24 giờ</x:v>
      </x:c>
      <x:c r="C6" s="21" t="str">
        <x:v>Sales</x:v>
      </x:c>
      <x:c r="D6" s="21" t="str">
        <x:v>Locked</x:v>
      </x:c>
    </x:row>
    <x:row r="7">
      <x:c r="A7" s="21" t="str">
        <x:v>Pixel ID</x:v>
      </x:c>
      <x:c r="B7" s="31" t="str">
        <x:v>NEXT_PUBLIC_META_PIXEL_ID</x:v>
      </x:c>
      <x:c r="C7" s="21" t="str">
        <x:v>Tech</x:v>
      </x:c>
      <x:c r="D7" s="21" t="str">
        <x:v>Cần cấu hình</x:v>
      </x:c>
    </x:row>
    <x:row r="8">
      <x:c r="A8" s="21" t="str">
        <x:v>Webhook</x:v>
      </x:c>
      <x:c r="B8" s="31" t="str">
        <x:v>GOOGLE_SHEET_WEBHOOK_URL</x:v>
      </x:c>
      <x:c r="C8" s="21" t="str">
        <x:v>Tech</x:v>
      </x:c>
      <x:c r="D8" s="21" t="str">
        <x:v>Cần kiểm tra</x:v>
      </x:c>
    </x:row>
    <x:row r="9">
      <x:c r="A9" s="21" t="str">
        <x:v>Qualified threshold</x:v>
      </x:c>
      <x:c r="B9" s="31" t="n">
        <x:v>7</x:v>
      </x:c>
      <x:c r="C9" s="21" t="str">
        <x:v>Sales Ops</x:v>
      </x:c>
      <x:c r="D9" s="21" t="str">
        <x:v>Locked</x:v>
      </x:c>
    </x:row>
    <x:row r="10">
      <x:c r="A10" s="21" t="str">
        <x:v>Geo 1</x:v>
      </x:c>
      <x:c r="B10" s="31" t="str">
        <x:v>Biên Hòa core</x:v>
      </x:c>
      <x:c r="C10" s="21" t="str">
        <x:v>Marketing</x:v>
      </x:c>
      <x:c r="D10" s="21" t="str">
        <x:v>Ready</x:v>
      </x:c>
    </x:row>
    <x:row r="11">
      <x:c r="A11" s="21" t="str">
        <x:v>Geo 2</x:v>
      </x:c>
      <x:c r="B11" s="31" t="str">
        <x:v>Long Thành–Nhơn Trạch</x:v>
      </x:c>
      <x:c r="C11" s="21" t="str">
        <x:v>Marketing</x:v>
      </x:c>
      <x:c r="D11" s="21" t="str">
        <x:v>Ready</x:v>
      </x:c>
    </x:row>
    <x:row r="12">
      <x:c r="A12" s="21" t="str">
        <x:v>Privacy</x:v>
      </x:c>
      <x:c r="B12" s="31" t="str">
        <x:v>/chinh-sach</x:v>
      </x:c>
      <x:c r="C12" s="21" t="str">
        <x:v>Legal</x:v>
      </x:c>
      <x:c r="D12" s="21" t="str">
        <x:v>Cần duyệt</x:v>
      </x:c>
    </x:row>
    <x:row r="13">
      <x:c r="A13" s="21" t="str">
        <x:v>Hotline</x:v>
      </x:c>
      <x:c r="B13" s="31" t="str">
        <x:v>089 890 2222</x:v>
      </x:c>
      <x:c r="C13" s="21" t="str">
        <x:v>Sales</x:v>
      </x:c>
      <x:c r="D13" s="21" t="str">
        <x:v>Locked</x:v>
      </x:c>
    </x:row>
    <x:row r="14">
      <x:c r="A14" s="21"/>
      <x:c r="B14" s="21"/>
      <x:c r="C14" s="21"/>
      <x:c r="D14" s="21"/>
    </x:row>
    <x:row r="15">
      <x:c r="A15" s="21"/>
      <x:c r="B15" s="21"/>
      <x:c r="C15" s="21"/>
      <x:c r="D15" s="21"/>
    </x:row>
    <x:row r="16">
      <x:c r="A16" s="18" t="str">
        <x:v>Nguồn</x:v>
      </x:c>
      <x:c r="B16" s="19" t="str">
        <x:v>URL</x:v>
      </x:c>
      <x:c r="C16" s="20" t="str">
        <x:v>Ghi chú</x:v>
      </x:c>
      <x:c r="D16" s="21"/>
    </x:row>
    <x:row r="17">
      <x:c r="A17" s="21" t="str">
        <x:v>TPS1</x:v>
      </x:c>
      <x:c r="B17" s="21" t="str">
        <x:v>https://thucphamsomot.vn/</x:v>
      </x:c>
      <x:c r="C17" s="21" t="str">
        <x:v>Định vị và form RFQ</x:v>
      </x:c>
      <x:c r="D17" s="21"/>
    </x:row>
    <x:row r="18">
      <x:c r="A18" s="21" t="str">
        <x:v>Meta targeting</x:v>
      </x:c>
      <x:c r="B18" s="21" t="str">
        <x:v>https://www.facebook.com/business/ads/ad-targeting</x:v>
      </x:c>
      <x:c r="C18" s="21" t="str">
        <x:v>Target broad</x:v>
      </x:c>
      <x:c r="D18" s="21"/>
    </x:row>
    <x:row r="19">
      <x:c r="A19" s="21" t="str">
        <x:v>Meta lead forms</x:v>
      </x:c>
      <x:c r="B19" s="21" t="str">
        <x:v>https://www.facebook.com/business/ads/ad-objectives/lead-generation/lead-ads-with-forms</x:v>
      </x:c>
      <x:c r="C19" s="21" t="str">
        <x:v>Instant + website form</x:v>
      </x:c>
      <x:c r="D19" s="21"/>
    </x:row>
    <x:row r="20">
      <x:c r="A20" s="21" t="str">
        <x:v>Conversions API</x:v>
      </x:c>
      <x:c r="B20" s="21" t="str">
        <x:v>https://www.facebook.com/business/help/AboutConversionsAPI</x:v>
      </x:c>
      <x:c r="C20" s="21" t="str">
        <x:v>Downstream events</x:v>
      </x:c>
      <x:c r="D20" s="21"/>
    </x:row>
    <x:row r="21">
      <x:c r="A21" s="21" t="str">
        <x:v>Customer list terms</x:v>
      </x:c>
      <x:c r="B21" s="21" t="str">
        <x:v>https://www.facebook.com/legal/terms/customaudience</x:v>
      </x:c>
      <x:c r="C21" s="21" t="str">
        <x:v>Quyền sử dụng dữ liệu</x:v>
      </x:c>
      <x:c r="D21" s="21"/>
    </x:row>
    <x:row r="22">
      <x:c r="A22" s="21" t="str">
        <x:v>Meta review</x:v>
      </x:c>
      <x:c r="B22" s="21" t="str">
        <x:v>https://www.facebook.com/business/ads/review-policy-guidelines</x:v>
      </x:c>
      <x:c r="C22" s="21" t="str">
        <x:v>Policy review</x:v>
      </x:c>
      <x:c r="D22" s="21"/>
    </x:row>
  </x:sheetData>
  <x:mergeCells>
    <x:mergeCell ref="A1:D1"/>
  </x:mergeCells>
  <x:pageMargins left="0.7" right="0.7" top="0.75" bottom="0.75" header="0.3" footer="0.3"/>
</x:worksheet>
</file>