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2522f9fff642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3eefe852eae54848"/>
    <x:sheet xmlns:r="http://schemas.openxmlformats.org/officeDocument/2006/relationships" name="Kế hoạch 10 ngày" sheetId="2" r:id="Re0c67db0de2849b5"/>
    <x:sheet xmlns:r="http://schemas.openxmlformats.org/officeDocument/2006/relationships" name="Lịch nội dung" sheetId="3" r:id="R02b08e56b2544bc5"/>
    <x:sheet xmlns:r="http://schemas.openxmlformats.org/officeDocument/2006/relationships" name="Tệp khách hàng" sheetId="4" r:id="R071dfee65cb34db2"/>
    <x:sheet xmlns:r="http://schemas.openxmlformats.org/officeDocument/2006/relationships" name="KPI &amp; Daily Check-in" sheetId="5" r:id="Rdab9b311f27a40ca"/>
    <x:sheet xmlns:r="http://schemas.openxmlformats.org/officeDocument/2006/relationships" name="Nguồn &amp; giả định" sheetId="6" r:id="R9cd1c91d08ae43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ddd, dd/mm"/>
    <x:numFmt numFmtId="202" formatCode="dd/mm"/>
    <x:numFmt numFmtId="203" formatCode="0"/>
    <x:numFmt numFmtId="204" formatCode="0.0%"/>
    <x:numFmt numFmtId="205" formatCode="#,##0 &quot;đ&quot;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23B33"/>
      <x:name val="Carlito"/>
    </x:font>
    <x:font>
      <x:b/>
      <x:sz val="10"/>
      <x:color rgb="FF123B33"/>
      <x:name val="Carlito"/>
    </x:font>
    <x:font>
      <x:b/>
      <x:sz val="11"/>
      <x:color rgb="FFFFFFFF"/>
      <x:name val="Carlito"/>
    </x:font>
    <x:font>
      <x:sz val="10"/>
      <x:color rgb="FF1F2A2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B33"/>
      </x:patternFill>
    </x:fill>
    <x:fill>
      <x:patternFill patternType="solid">
        <x:fgColor rgb="FFDDF3E8"/>
      </x:patternFill>
    </x:fill>
    <x:fill>
      <x:patternFill patternType="solid">
        <x:fgColor rgb="FFF4F7F5"/>
      </x:patternFill>
    </x:fill>
    <x:fill>
      <x:patternFill patternType="solid">
        <x:fgColor rgb="FF2E7D5B"/>
      </x:patternFill>
    </x:fill>
    <x:fill>
      <x:patternFill patternType="solid">
        <x:fgColor rgb="FFF2B84B"/>
      </x:patternFill>
    </x:fill>
  </x:fills>
  <x:borders count="1">
    <x:border/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2" fontId="5" fillId="0" borderId="0" xfId="0" applyNumberFormat="1" applyFont="1" applyFill="1" applyBorder="1" applyAlignment="1">
      <x:alignment vertical="top" wrapText="1"/>
    </x:xf>
    <x:xf numFmtId="203" fontId="5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4" fontId="5" fillId="0" borderId="0" xfId="0" applyNumberFormat="1" applyFont="1" applyFill="1" applyBorder="1" applyAlignment="1">
      <x:alignment vertical="top" wrapText="1"/>
    </x:xf>
    <x:xf numFmtId="205" fontId="5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vertical="center"/>
    </x:xf>
    <x:xf numFmtId="204" fontId="2" fillId="6" borderId="0" xfId="0" applyNumberFormat="1" applyFont="1" applyFill="1" applyBorder="1" applyAlignment="1">
      <x:alignment vertical="center"/>
    </x:xf>
    <x:xf numFmtId="205" fontId="2" fillId="6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C84C4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5820dcf5864ee4" /><Relationship Type="http://schemas.openxmlformats.org/officeDocument/2006/relationships/theme" Target="/xl/theme/theme1.xml" Id="Rc83db77f089d4e1f" /><Relationship Type="http://schemas.openxmlformats.org/officeDocument/2006/relationships/sharedStrings" Target="/xl/sharedStrings.xml" Id="Rb580233ab3ac4d4c" /><Relationship Type="http://schemas.openxmlformats.org/officeDocument/2006/relationships/worksheet" Target="/xl/worksheets/sheet1.xml" Id="R3eefe852eae54848" /><Relationship Type="http://schemas.openxmlformats.org/officeDocument/2006/relationships/worksheet" Target="/xl/worksheets/sheet2.xml" Id="Re0c67db0de2849b5" /><Relationship Type="http://schemas.openxmlformats.org/officeDocument/2006/relationships/worksheet" Target="/xl/worksheets/sheet3.xml" Id="R02b08e56b2544bc5" /><Relationship Type="http://schemas.openxmlformats.org/officeDocument/2006/relationships/worksheet" Target="/xl/worksheets/sheet4.xml" Id="R071dfee65cb34db2" /><Relationship Type="http://schemas.openxmlformats.org/officeDocument/2006/relationships/worksheet" Target="/xl/worksheets/sheet5.xml" Id="Rdab9b311f27a40ca" /><Relationship Type="http://schemas.openxmlformats.org/officeDocument/2006/relationships/worksheet" Target="/xl/worksheets/sheet6.xml" Id="R9cd1c91d08ae435e" /></Relationships>
</file>

<file path=xl/tables/table1.xml><?xml version="1.0" encoding="utf-8"?>
<x:table xmlns:x="http://schemas.openxmlformats.org/spreadsheetml/2006/main" id="1" name="Plan10Days" displayName="Plan10Days" ref="A3:M13" headerRowCount="1" totalsRowCount="0" totalsRowShown="0">
  <x:tableColumns count="13">
    <x:tableColumn id="1" name="Ngày"/>
    <x:tableColumn id="2" name="Trọng tâm"/>
    <x:tableColumn id="3" name="Việc phải làm"/>
    <x:tableColumn id="4" name="Kênh/Công cụ"/>
    <x:tableColumn id="5" name="Người phụ trách"/>
    <x:tableColumn id="6" name="Phối hợp"/>
    <x:tableColumn id="7" name="Đầu ra cuối ngày"/>
    <x:tableColumn id="8" name="KPI mục tiêu"/>
    <x:tableColumn id="9" name="Gate / tiêu chí xong"/>
    <x:tableColumn id="10" name="Ưu tiên"/>
    <x:tableColumn id="11" name="Trạng thái"/>
    <x:tableColumn id="12" name="Kết quả thực tế"/>
    <x:tableColumn id="13" name="Ghi chú / bài học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ontentCalendar" displayName="ContentCalendar" ref="A3:K8" headerRowCount="1" totalsRowCount="0" totalsRowShown="0">
  <x:tableColumns count="11">
    <x:tableColumn id="1" name="Ngày"/>
    <x:tableColumn id="2" name="Chủ đề / góc tiếp cận"/>
    <x:tableColumn id="3" name="Đối tượng"/>
    <x:tableColumn id="4" name="Định dạng gốc"/>
    <x:tableColumn id="5" name="LinkedIn"/>
    <x:tableColumn id="6" name="Zalo OA"/>
    <x:tableColumn id="7" name="Website"/>
    <x:tableColumn id="8" name="CTA"/>
    <x:tableColumn id="9" name="Bằng chứng cần có"/>
    <x:tableColumn id="10" name="Owner"/>
    <x:tableColumn id="11" name="Trạng thái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TargetAccounts" displayName="TargetAccounts" ref="A3:N63" headerRowCount="1" totalsRowCount="0" totalsRowShown="0">
  <x:tableColumns count="14">
    <x:tableColumn id="1" name="Tier"/>
    <x:tableColumn id="2" name="Phân khúc"/>
    <x:tableColumn id="3" name="Khu vực"/>
    <x:tableColumn id="4" name="Tên doanh nghiệp"/>
    <x:tableColumn id="5" name="Website/Maps"/>
    <x:tableColumn id="6" name="Người liên hệ"/>
    <x:tableColumn id="7" name="Vai trò"/>
    <x:tableColumn id="8" name="LinkedIn"/>
    <x:tableColumn id="9" name="Điện thoại/Zalo"/>
    <x:tableColumn id="10" name="Nhu cầu giả định"/>
    <x:tableColumn id="11" name="Lý do fit"/>
    <x:tableColumn id="12" name="Điểm fit"/>
    <x:tableColumn id="13" name="Trạng thái"/>
    <x:tableColumn id="14" name="Bước tiếp theo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DailyKPI" displayName="DailyKPI" ref="A3:P13" headerRowCount="1" totalsRowCount="0" totalsRowShown="0">
  <x:tableColumns count="16">
    <x:tableColumn id="1" name="Ngày"/>
    <x:tableColumn id="2" name="Account mới"/>
    <x:tableColumn id="3" name="Contact tìm được"/>
    <x:tableColumn id="4" name="Tiếp cận"/>
    <x:tableColumn id="5" name="Phản hồi 2 chiều"/>
    <x:tableColumn id="6" name="Cuộc gọi"/>
    <x:tableColumn id="7" name="Lead đủ chuẩn"/>
    <x:tableColumn id="8" name="Danh sách nhu cầu"/>
    <x:tableColumn id="9" name="Báo giá/khảo sát"/>
    <x:tableColumn id="10" name="Khách thử"/>
    <x:tableColumn id="11" name="Chi phí ads"/>
    <x:tableColumn id="12" name="Phút phản hồi TB"/>
    <x:tableColumn id="13" name="Tỷ lệ phản hồi"/>
    <x:tableColumn id="14" name="Tỷ lệ đủ chuẩn"/>
    <x:tableColumn id="15" name="CPL đủ chuẩn"/>
    <x:tableColumn id="16" name="Bài học / quyết định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SourceRegister" displayName="SourceRegister" ref="A3:F11" headerRowCount="1" totalsRowCount="0" totalsRowShown="0">
  <x:tableColumns count="6">
    <x:tableColumn id="1" name="Nguồn"/>
    <x:tableColumn id="2" name="Ngày file / phạm vi"/>
    <x:tableColumn id="3" name="Điều xác nhận"/>
    <x:tableColumn id="4" name="Cách dùng trong kế hoạch"/>
    <x:tableColumn id="5" name="Hạn chế"/>
    <x:tableColumn id="6" name="Mức tin cậy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c0fca83a584d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a08b89c99943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be3224cb654c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3831b0dd824a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2575edcd0e4f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34" hidden="0" customWidth="1"/>
    <x:col min="4" max="4" width="18" hidden="0" customWidth="1"/>
    <x:col min="5" max="5" width="14" hidden="0" customWidth="1"/>
    <x:col min="6" max="6" width="24" hidden="0" customWidth="1"/>
    <x:col min="7" max="7" width="34" hidden="0" customWidth="1"/>
    <x:col min="8" max="8" width="18" hidden="0" customWidth="1"/>
  </x:cols>
  <x:sheetData>
    <x:row r="1" ht="34" customHeight="1">
      <x:c r="A1" s="3" t="str">
        <x:v>TPS1 — Kế hoạch marketing &amp; bán hàng 10 ngày | 21–30/07/2026</x:v>
      </x:c>
      <x:c r="B1" s="3" t="str">
        <x:v>TPS1 — Kế hoạch marketing &amp; bán hàng 10 ngày | 21–30/07/2026</x:v>
      </x:c>
      <x:c r="C1" s="3" t="str">
        <x:v>TPS1 — Kế hoạch marketing &amp; bán hàng 10 ngày | 21–30/07/2026</x:v>
      </x:c>
      <x:c r="D1" s="3" t="str">
        <x:v>TPS1 — Kế hoạch marketing &amp; bán hàng 10 ngày | 21–30/07/2026</x:v>
      </x:c>
      <x:c r="E1" s="3" t="str">
        <x:v>TPS1 — Kế hoạch marketing &amp; bán hàng 10 ngày | 21–30/07/2026</x:v>
      </x:c>
      <x:c r="F1" s="3" t="str">
        <x:v>TPS1 — Kế hoạch marketing &amp; bán hàng 10 ngày | 21–30/07/2026</x:v>
      </x:c>
      <x:c r="G1" s="3" t="str">
        <x:v>TPS1 — Kế hoạch marketing &amp; bán hàng 10 ngày | 21–30/07/2026</x:v>
      </x:c>
      <x:c r="H1" s="3" t="str">
        <x:v>TPS1 — Kế hoạch marketing &amp; bán hàng 10 ngày | 21–30/07/2026</x:v>
      </x:c>
    </x:row>
    <x:row r="3">
      <x:c r="A3" s="6" t="str">
        <x:v>QUYẾT ĐỊNH TRỌNG TÂM</x:v>
      </x:c>
      <x:c r="B3" s="6"/>
      <x:c r="C3" s="6"/>
      <x:c r="D3" s="6"/>
      <x:c r="E3" s="6"/>
      <x:c r="F3" s="6"/>
      <x:c r="G3" s="6"/>
      <x:c r="H3" s="6"/>
    </x:row>
    <x:row r="4">
      <x:c r="A4" s="10" t="str">
        <x:v>Chuyển từ “đã có kênh” sang một sprint tạo pipeline B2B: chọn đúng tài khoản tại Đồng Nai → mở hội thoại → lấy danh sách nhu cầu → báo giá/hẹn khảo sát → ghi nhận lý do thắng/thua. Website, Zalo OA và LinkedIn là hạ tầng; doanh thu đến từ quy trình tiếp cận và phản hồi có kỷ luật.</x:v>
      </x:c>
      <x:c r="B4" s="10"/>
      <x:c r="C4" s="10"/>
      <x:c r="D4" s="10"/>
      <x:c r="E4" s="10"/>
      <x:c r="F4" s="10"/>
      <x:c r="G4" s="10"/>
      <x:c r="H4" s="10"/>
    </x:row>
    <x:row r="5">
      <x:c r="A5" s="10"/>
      <x:c r="B5" s="10"/>
      <x:c r="C5" s="10"/>
      <x:c r="D5" s="10"/>
      <x:c r="E5" s="10"/>
      <x:c r="F5" s="10"/>
      <x:c r="G5" s="10"/>
      <x:c r="H5" s="10"/>
    </x:row>
    <x:row r="6">
      <x:c r="A6" s="10"/>
      <x:c r="B6" s="10"/>
      <x:c r="C6" s="10"/>
      <x:c r="D6" s="10"/>
      <x:c r="E6" s="10"/>
      <x:c r="F6" s="10"/>
      <x:c r="G6" s="10"/>
      <x:c r="H6" s="10"/>
    </x:row>
    <x:row r="7">
      <x:c r="A7" s="10"/>
      <x:c r="B7" s="10"/>
      <x:c r="C7" s="10"/>
      <x:c r="D7" s="10"/>
      <x:c r="E7" s="10"/>
      <x:c r="F7" s="10"/>
      <x:c r="G7" s="10"/>
      <x:c r="H7" s="10"/>
    </x:row>
    <x:row r="9">
      <x:c r="A9" s="13" t="str">
        <x:v>ICP: nhà máy/KCN, công ty suất ăn và bếp ăn tập thể tại Đồng Nai  •  Chuyển đổi: hội thoại đủ chuẩn → nhận danh sách → báo giá/hẹn khảo sát  •  Thông điệp: một đầu mối nhiều nhóm hàng, hồ sơ rõ, giao đúng quy cách và lịch</x:v>
      </x:c>
      <x:c r="B9" s="13"/>
      <x:c r="C9" s="13"/>
      <x:c r="D9" s="13"/>
      <x:c r="E9" s="13"/>
      <x:c r="F9" s="13"/>
      <x:c r="G9" s="13"/>
      <x:c r="H9" s="13"/>
    </x:row>
    <x:row r="11">
      <x:c r="A11" s="17" t="str">
        <x:v>Mục tiêu 10 ngày</x:v>
      </x:c>
      <x:c r="B11" s="17" t="str">
        <x:v>Tài khoản mục tiêu</x:v>
      </x:c>
      <x:c r="C11" s="17" t="str">
        <x:v>Liên hệ cá nhân hóa</x:v>
      </x:c>
      <x:c r="D11" s="17" t="str">
        <x:v>Cuộc trao đổi 2 chiều</x:v>
      </x:c>
      <x:c r="E11" s="17" t="str">
        <x:v>Lead đủ chuẩn</x:v>
      </x:c>
      <x:c r="F11" s="17" t="str">
        <x:v>Danh sách nhu cầu nhận được</x:v>
      </x:c>
      <x:c r="G11" s="17" t="str">
        <x:v>Báo giá / khảo sát</x:v>
      </x:c>
      <x:c r="H11" s="17" t="str">
        <x:v>Khách thử / cơ hội rõ</x:v>
      </x:c>
    </x:row>
    <x:row r="12">
      <x:c r="A12" s="20" t="str">
        <x:v>Mục tiêu cơ sở</x:v>
      </x:c>
      <x:c r="B12" s="21" t="n">
        <x:v>60</x:v>
      </x:c>
      <x:c r="C12" s="21" t="n">
        <x:v>80</x:v>
      </x:c>
      <x:c r="D12" s="21" t="n">
        <x:v>20</x:v>
      </x:c>
      <x:c r="E12" s="21" t="n">
        <x:v>10</x:v>
      </x:c>
      <x:c r="F12" s="21" t="n">
        <x:v>6</x:v>
      </x:c>
      <x:c r="G12" s="21" t="n">
        <x:v>5</x:v>
      </x:c>
      <x:c r="H12" s="21" t="n">
        <x:v>2</x:v>
      </x:c>
    </x:row>
    <x:row r="13">
      <x:c r="A13" s="20" t="str">
        <x:v>Ngưỡng tối thiểu</x:v>
      </x:c>
      <x:c r="B13" s="21" t="n">
        <x:v>40</x:v>
      </x:c>
      <x:c r="C13" s="21" t="n">
        <x:v>50</x:v>
      </x:c>
      <x:c r="D13" s="21" t="n">
        <x:v>12</x:v>
      </x:c>
      <x:c r="E13" s="21" t="n">
        <x:v>6</x:v>
      </x:c>
      <x:c r="F13" s="21" t="n">
        <x:v>3</x:v>
      </x:c>
      <x:c r="G13" s="21" t="n">
        <x:v>3</x:v>
      </x:c>
      <x:c r="H13" s="21" t="n">
        <x:v>1</x:v>
      </x:c>
    </x:row>
    <x:row r="15">
      <x:c r="A15" s="6" t="str">
        <x:v>NGUYÊN TẮC VẬN HÀNH</x:v>
      </x:c>
      <x:c r="B15" s="6"/>
      <x:c r="C15" s="6"/>
      <x:c r="D15" s="6"/>
      <x:c r="E15" s="6"/>
      <x:c r="F15" s="6"/>
      <x:c r="G15" s="6"/>
      <x:c r="H15" s="6"/>
    </x:row>
    <x:row r="16">
      <x:c r="A16" s="20" t="str">
        <x:v>1</x:v>
      </x:c>
      <x:c r="B16" s="20" t="str">
        <x:v>Một thị trường trước</x:v>
      </x:c>
      <x:c r="C16" s="20" t="str">
        <x:v>Ưu tiên Đồng Nai: Biên Hòa/Amata → Long Thành/Nhơn Trạch → Trảng Bom/Hố Nai/Vĩnh Cửu.</x:v>
      </x:c>
      <x:c r="D16" s="20" t="str"/>
      <x:c r="E16" s="20" t="str">
        <x:v>2</x:v>
      </x:c>
      <x:c r="F16" s="20" t="str">
        <x:v>Một offer trước</x:v>
      </x:c>
      <x:c r="G16" s="20" t="str">
        <x:v>“Gửi danh sách nhu cầu — nhận phương án nguồn hàng, lịch giao và báo giá phù hợp.”</x:v>
      </x:c>
      <x:c r="H16" s="20" t="str"/>
    </x:row>
    <x:row r="17">
      <x:c r="A17" s="20" t="str">
        <x:v>3</x:v>
      </x:c>
      <x:c r="B17" s="20" t="str">
        <x:v>Tốc độ phản hồi</x:v>
      </x:c>
      <x:c r="C17" s="20" t="str">
        <x:v>Lead nóng: xác nhận ≤5 phút, gọi ≤15 phút trong giờ làm việc; chưa bắt máy thì chuyển Zalo.</x:v>
      </x:c>
      <x:c r="D17" s="20" t="str"/>
      <x:c r="E17" s="20" t="str">
        <x:v>4</x:v>
      </x:c>
      <x:c r="F17" s="20" t="str">
        <x:v>Bằng chứng trước quảng cáo</x:v>
      </x:c>
      <x:c r="G17" s="20" t="str">
        <x:v>Dùng hồ sơ, chứng nhận, khách hàng hiện hữu và ảnh vận hành; không dùng claim chưa kiểm chứng.</x:v>
      </x:c>
      <x:c r="H17" s="20" t="str"/>
    </x:row>
    <x:row r="18">
      <x:c r="A18" s="20" t="str">
        <x:v>5</x:v>
      </x:c>
      <x:c r="B18" s="20" t="str">
        <x:v>Không scale mù</x:v>
      </x:c>
      <x:c r="C18" s="20" t="str">
        <x:v>Không tăng ngân sách nếu chưa ghi được lead đủ chuẩn, nguồn lead và kết quả follow-up.</x:v>
      </x:c>
      <x:c r="D18" s="20" t="str"/>
      <x:c r="E18" s="20" t="str">
        <x:v>6</x:v>
      </x:c>
      <x:c r="F18" s="20" t="str">
        <x:v>Mỗi ngày phải học</x:v>
      </x:c>
      <x:c r="G18" s="20" t="str">
        <x:v>Chốt 17:00: ghi câu hỏi/objection, ngành, khu vực, nhu cầu và bước tiếp theo.</x:v>
      </x:c>
      <x:c r="H18" s="20" t="str"/>
    </x:row>
    <x:row r="19">
      <x:c r="A19" s="20" t="str">
        <x:v>7</x:v>
      </x:c>
      <x:c r="B19" s="20" t="str">
        <x:v>Founder-led sales</x:v>
      </x:c>
      <x:c r="C19" s="20" t="str">
        <x:v>10 ngày đầu ưu tiên người hiểu vận hành trực tiếp tham gia gọi/khảo sát để học nhanh.</x:v>
      </x:c>
      <x:c r="D19" s="20" t="str"/>
      <x:c r="E19" s="20" t="str">
        <x:v>8</x:v>
      </x:c>
      <x:c r="F19" s="20" t="str">
        <x:v>Kênh có vai trò rõ</x:v>
      </x:c>
      <x:c r="G19" s="20" t="str">
        <x:v>LinkedIn tìm người/uy tín; Zalo chăm sóc; website tạo tin cậy và nhận RFQ; ads chỉ khuếch đại.</x:v>
      </x:c>
      <x:c r="H19" s="20" t="str"/>
    </x:row>
    <x:row r="20">
      <x:c r="A20" s="20" t="str">
        <x:v>9</x:v>
      </x:c>
      <x:c r="B20" s="20" t="str">
        <x:v>Đầu ra quan trọng</x:v>
      </x:c>
      <x:c r="C20" s="20" t="str">
        <x:v>Danh sách tài khoản + log tiếp cận + nhu cầu thật + báo giá + lý do phản hồi, không phải số bài đăng.</x:v>
      </x:c>
      <x:c r="D20" s="20" t="str"/>
      <x:c r="E20" s="20" t="str">
        <x:v>10</x:v>
      </x:c>
      <x:c r="F20" s="20" t="str">
        <x:v>Cổng quyết định ngày 10</x:v>
      </x:c>
      <x:c r="G20" s="20" t="str">
        <x:v>Scale, sửa offer hay đổi phân khúc dựa trên tỷ lệ phản hồi và lead đủ chuẩn.</x:v>
      </x:c>
      <x:c r="H20" s="20" t="str"/>
    </x:row>
  </x:sheetData>
  <x:mergeCells>
    <x:mergeCell ref="A1:H1"/>
    <x:mergeCell ref="A3:H3"/>
    <x:mergeCell ref="A4:H7"/>
    <x:mergeCell ref="A9:H9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58" hidden="0" customWidth="1"/>
    <x:col min="4" max="4" width="24" hidden="0" customWidth="1"/>
    <x:col min="5" max="5" width="19" hidden="0" customWidth="1"/>
    <x:col min="6" max="6" width="19" hidden="0" customWidth="1"/>
    <x:col min="7" max="7" width="38" hidden="0" customWidth="1"/>
    <x:col min="8" max="8" width="27" hidden="0" customWidth="1"/>
    <x:col min="9" max="9" width="38" hidden="0" customWidth="1"/>
    <x:col min="10" max="10" width="10" hidden="0" customWidth="1"/>
    <x:col min="11" max="11" width="17" hidden="0" customWidth="1"/>
    <x:col min="12" max="12" width="22" hidden="0" customWidth="1"/>
    <x:col min="13" max="13" width="38" hidden="0" customWidth="1"/>
  </x:cols>
  <x:sheetData>
    <x:row r="1" ht="34" customHeight="1">
      <x:c r="A1" s="3" t="str">
        <x:v>Kế hoạch hành động 10 ngày — người làm, đầu ra và tiêu chí hoàn thành</x:v>
      </x:c>
      <x:c r="B1" s="3" t="str">
        <x:v>Kế hoạch hành động 10 ngày — người làm, đầu ra và tiêu chí hoàn thành</x:v>
      </x:c>
      <x:c r="C1" s="3" t="str">
        <x:v>Kế hoạch hành động 10 ngày — người làm, đầu ra và tiêu chí hoàn thành</x:v>
      </x:c>
      <x:c r="D1" s="3" t="str">
        <x:v>Kế hoạch hành động 10 ngày — người làm, đầu ra và tiêu chí hoàn thành</x:v>
      </x:c>
      <x:c r="E1" s="3" t="str">
        <x:v>Kế hoạch hành động 10 ngày — người làm, đầu ra và tiêu chí hoàn thành</x:v>
      </x:c>
      <x:c r="F1" s="3" t="str">
        <x:v>Kế hoạch hành động 10 ngày — người làm, đầu ra và tiêu chí hoàn thành</x:v>
      </x:c>
      <x:c r="G1" s="3" t="str">
        <x:v>Kế hoạch hành động 10 ngày — người làm, đầu ra và tiêu chí hoàn thành</x:v>
      </x:c>
      <x:c r="H1" s="3" t="str">
        <x:v>Kế hoạch hành động 10 ngày — người làm, đầu ra và tiêu chí hoàn thành</x:v>
      </x:c>
      <x:c r="I1" s="3" t="str">
        <x:v>Kế hoạch hành động 10 ngày — người làm, đầu ra và tiêu chí hoàn thành</x:v>
      </x:c>
      <x:c r="J1" s="3" t="str">
        <x:v>Kế hoạch hành động 10 ngày — người làm, đầu ra và tiêu chí hoàn thành</x:v>
      </x:c>
      <x:c r="K1" s="3" t="str">
        <x:v>Kế hoạch hành động 10 ngày — người làm, đầu ra và tiêu chí hoàn thành</x:v>
      </x:c>
      <x:c r="L1" s="3" t="str">
        <x:v>Kế hoạch hành động 10 ngày — người làm, đầu ra và tiêu chí hoàn thành</x:v>
      </x:c>
      <x:c r="M1" s="3" t="str">
        <x:v>Kế hoạch hành động 10 ngày — người làm, đầu ra và tiêu chí hoàn thành</x:v>
      </x:c>
    </x:row>
    <x:row r="3">
      <x:c r="A3" s="17" t="str">
        <x:v>Ngày</x:v>
      </x:c>
      <x:c r="B3" s="17" t="str">
        <x:v>Trọng tâm</x:v>
      </x:c>
      <x:c r="C3" s="17" t="str">
        <x:v>Việc phải làm</x:v>
      </x:c>
      <x:c r="D3" s="17" t="str">
        <x:v>Kênh/Công cụ</x:v>
      </x:c>
      <x:c r="E3" s="17" t="str">
        <x:v>Người phụ trách</x:v>
      </x:c>
      <x:c r="F3" s="17" t="str">
        <x:v>Phối hợp</x:v>
      </x:c>
      <x:c r="G3" s="17" t="str">
        <x:v>Đầu ra cuối ngày</x:v>
      </x:c>
      <x:c r="H3" s="17" t="str">
        <x:v>KPI mục tiêu</x:v>
      </x:c>
      <x:c r="I3" s="17" t="str">
        <x:v>Gate / tiêu chí xong</x:v>
      </x:c>
      <x:c r="J3" s="17" t="str">
        <x:v>Ưu tiên</x:v>
      </x:c>
      <x:c r="K3" s="17" t="str">
        <x:v>Trạng thái</x:v>
      </x:c>
      <x:c r="L3" s="17" t="str">
        <x:v>Kết quả thực tế</x:v>
      </x:c>
      <x:c r="M3" s="17" t="str">
        <x:v>Ghi chú / bài học</x:v>
      </x:c>
    </x:row>
    <x:row r="4">
      <x:c r="A4" s="22" t="n">
        <x:v>46224</x:v>
      </x:c>
      <x:c r="B4" s="20" t="str">
        <x:v>Khóa đo lường &amp; offer</x:v>
      </x:c>
      <x:c r="C4" s="20" t="str">
        <x:v>Làm sạch lead test; thống nhất 6 trường bắt buộc: nguồn, phân khúc, khu vực, nhu cầu, trạng thái, bước tiếp theo. Kiểm tra form website/Zalo đổ dữ liệu và UTM. Chốt 1 CTA dùng chung.</x:v>
      </x:c>
      <x:c r="D4" s="20" t="str">
        <x:v>Website + Zalo + Sheet/Admin</x:v>
      </x:c>
      <x:c r="E4" s="20" t="str">
        <x:v>Growth/RevOps</x:v>
      </x:c>
      <x:c r="F4" s="20" t="str">
        <x:v>Founder + Tech</x:v>
      </x:c>
      <x:c r="G4" s="20" t="str">
        <x:v>Bảng lead sạch; mã nguồn chuẩn; SLA; CTA chuẩn</x:v>
      </x:c>
      <x:c r="H4" s="20" t="str">
        <x:v>100% lead mới có nguồn &amp; trạng thái</x:v>
      </x:c>
      <x:c r="I4" s="20" t="str">
        <x:v>Gửi thử 3 lead từ 3 kênh, nhận đủ dữ liệu</x:v>
      </x:c>
      <x:c r="J4" s="20" t="str">
        <x:v>P0</x:v>
      </x:c>
      <x:c r="K4" s="20" t="str">
        <x:v>Chưa bắt đầu</x:v>
      </x:c>
      <x:c r="L4" s="20" t="str"/>
      <x:c r="M4" s="20" t="str"/>
    </x:row>
    <x:row r="5">
      <x:c r="A5" s="22" t="n">
        <x:v>46225</x:v>
      </x:c>
      <x:c r="B5" s="20" t="str">
        <x:v>Xây tệp tài khoản mục tiêu</x:v>
      </x:c>
      <x:c r="C5" s="20" t="str">
        <x:v>Lập 60 tài khoản: 25 nhà máy/KCN, 15 công ty suất ăn/bếp tập thể, 10 trường/bệnh viện, 10 nhà hàng/khách sạn. Tìm người mua hàng/vận hành/bếp trưởng và số/Zalo/LinkedIn công khai.</x:v>
      </x:c>
      <x:c r="D5" s="20" t="str">
        <x:v>LinkedIn + Google Maps + hồ sơ cũ</x:v>
      </x:c>
      <x:c r="E5" s="20" t="str">
        <x:v>Research/SDR</x:v>
      </x:c>
      <x:c r="F5" s="20" t="str">
        <x:v>Founder</x:v>
      </x:c>
      <x:c r="G5" s="20" t="str">
        <x:v>60 account; ≥40 contact; phân tầng A/B/C</x:v>
      </x:c>
      <x:c r="H5" s="20" t="str">
        <x:v>60 account; 40 contact</x:v>
      </x:c>
      <x:c r="I5" s="20" t="str">
        <x:v>Mỗi record có lý do fit và tuyến giao</x:v>
      </x:c>
      <x:c r="J5" s="20" t="str">
        <x:v>P0</x:v>
      </x:c>
      <x:c r="K5" s="20" t="str">
        <x:v>Chưa bắt đầu</x:v>
      </x:c>
      <x:c r="L5" s="20" t="str"/>
      <x:c r="M5" s="20" t="str"/>
    </x:row>
    <x:row r="6">
      <x:c r="A6" s="22" t="n">
        <x:v>46226</x:v>
      </x:c>
      <x:c r="B6" s="20" t="str">
        <x:v>Đóng gói bằng chứng bán hàng</x:v>
      </x:c>
      <x:c r="C6" s="20" t="str">
        <x:v>Tạo bộ sales kit 1 trang: nhóm hàng, khu vực giao, quy trình báo giá, chứng nhận, khách hàng tiêu biểu, hotline/Zalo. Tạo checklist 8 tiêu chí chọn NCC và mẫu danh sách nhu cầu.</x:v>
      </x:c>
      <x:c r="D6" s="20" t="str">
        <x:v>Website + PDF/ảnh + Zalo</x:v>
      </x:c>
      <x:c r="E6" s="20" t="str">
        <x:v>Content/Design</x:v>
      </x:c>
      <x:c r="F6" s="20" t="str">
        <x:v>Ops + Founder</x:v>
      </x:c>
      <x:c r="G6" s="20" t="str">
        <x:v>01 one-pager; 01 checklist; 01 mẫu nhu cầu</x:v>
      </x:c>
      <x:c r="H6" s="20" t="str">
        <x:v>3 tài sản hoàn chỉnh</x:v>
      </x:c>
      <x:c r="I6" s="20" t="str">
        <x:v>Mọi claim có tài liệu/ảnh đối chiếu</x:v>
      </x:c>
      <x:c r="J6" s="20" t="str">
        <x:v>P0</x:v>
      </x:c>
      <x:c r="K6" s="20" t="str">
        <x:v>Chưa bắt đầu</x:v>
      </x:c>
      <x:c r="L6" s="20" t="str"/>
      <x:c r="M6" s="20" t="str"/>
    </x:row>
    <x:row r="7">
      <x:c r="A7" s="22" t="n">
        <x:v>46227</x:v>
      </x:c>
      <x:c r="B7" s="20" t="str">
        <x:v>Outbound wave 1</x:v>
      </x:c>
      <x:c r="C7" s="20" t="str">
        <x:v>Cá nhân hóa 30 liên hệ Tier A/B. Mở bằng vấn đề vận hành và khu vực giao; CTA xin danh sách nhu cầu hoặc lịch gọi 10 phút. Không gửi bảng giá đại trà.</x:v>
      </x:c>
      <x:c r="D7" s="20" t="str">
        <x:v>LinkedIn + Zalo + Điện thoại</x:v>
      </x:c>
      <x:c r="E7" s="20" t="str">
        <x:v>SDR/Sales</x:v>
      </x:c>
      <x:c r="F7" s="20" t="str">
        <x:v>Founder</x:v>
      </x:c>
      <x:c r="G7" s="20" t="str">
        <x:v>30 liên hệ; log phản hồi &amp; objection</x:v>
      </x:c>
      <x:c r="H7" s="20" t="str">
        <x:v>30 tiếp cận; 6 phản hồi; 3 cuộc gọi</x:v>
      </x:c>
      <x:c r="I7" s="20" t="str">
        <x:v>100% có follow-up date</x:v>
      </x:c>
      <x:c r="J7" s="20" t="str">
        <x:v>P0</x:v>
      </x:c>
      <x:c r="K7" s="20" t="str">
        <x:v>Chưa bắt đầu</x:v>
      </x:c>
      <x:c r="L7" s="20" t="str"/>
      <x:c r="M7" s="20" t="str"/>
    </x:row>
    <x:row r="8">
      <x:c r="A8" s="22" t="n">
        <x:v>46228</x:v>
      </x:c>
      <x:c r="B8" s="20" t="str">
        <x:v>Nội dung chứng minh năng lực</x:v>
      </x:c>
      <x:c r="C8" s="20" t="str">
        <x:v>Đăng case/proof: cách TPS1 xử lý đúng quy cách, lịch giao, hồ sơ và sự cố. Cắt thành LinkedIn post, Zalo OA post và bài website ngắn; dẫn về form báo giá.</x:v>
      </x:c>
      <x:c r="D8" s="20" t="str">
        <x:v>LinkedIn + Zalo OA + Website</x:v>
      </x:c>
      <x:c r="E8" s="20" t="str">
        <x:v>Content</x:v>
      </x:c>
      <x:c r="F8" s="20" t="str">
        <x:v>Ops + Founder</x:v>
      </x:c>
      <x:c r="G8" s="20" t="str">
        <x:v>01 content pillar + 3 phiên bản kênh</x:v>
      </x:c>
      <x:c r="H8" s="20" t="str">
        <x:v>3 bài; 5 hội thoại mới</x:v>
      </x:c>
      <x:c r="I8" s="20" t="str">
        <x:v>Không nêu tên/logo nếu chưa có quyền</x:v>
      </x:c>
      <x:c r="J8" s="20" t="str">
        <x:v>P1</x:v>
      </x:c>
      <x:c r="K8" s="20" t="str">
        <x:v>Chưa bắt đầu</x:v>
      </x:c>
      <x:c r="L8" s="20" t="str"/>
      <x:c r="M8" s="20" t="str"/>
    </x:row>
    <x:row r="9">
      <x:c r="A9" s="22" t="n">
        <x:v>46229</x:v>
      </x:c>
      <x:c r="B9" s="20" t="str">
        <x:v>Google Search hygiene</x:v>
      </x:c>
      <x:c r="C9" s="20" t="str">
        <x:v>Rà tracking form/call; tách Brand và Core B2B; sửa RSA ad strength; bổ sung negative mua lẻ/việc làm/định nghĩa; map keyword theo landing địa phương. Giữ ngân sách thấp đến khi có conversion thật.</x:v>
      </x:c>
      <x:c r="D9" s="20" t="str">
        <x:v>Google Ads + Website</x:v>
      </x:c>
      <x:c r="E9" s="20" t="str">
        <x:v>Performance</x:v>
      </x:c>
      <x:c r="F9" s="20" t="str">
        <x:v>Tech + Sales</x:v>
      </x:c>
      <x:c r="G9" s="20" t="str">
        <x:v>Tracking test; negative list; RSA mới</x:v>
      </x:c>
      <x:c r="H9" s="20" t="str">
        <x:v>3 conversion test; 0 lỗi tracking</x:v>
      </x:c>
      <x:c r="I9" s="20" t="str">
        <x:v>Không tăng ngân sách nếu chưa đo lead chuẩn</x:v>
      </x:c>
      <x:c r="J9" s="20" t="str">
        <x:v>P1</x:v>
      </x:c>
      <x:c r="K9" s="20" t="str">
        <x:v>Chưa bắt đầu</x:v>
      </x:c>
      <x:c r="L9" s="20" t="str"/>
      <x:c r="M9" s="20" t="str"/>
    </x:row>
    <x:row r="10">
      <x:c r="A10" s="22" t="n">
        <x:v>46230</x:v>
      </x:c>
      <x:c r="B10" s="20" t="str">
        <x:v>Outbound wave 2 + follow-up</x:v>
      </x:c>
      <x:c r="C10" s="20" t="str">
        <x:v>Tiếp cận 30 account còn lại; follow-up wave 1 bằng checklist hoặc mẫu nhu cầu. Gọi các phản hồi có fit; cập nhật nhu cầu, quy mô, tuyến, thời hạn.</x:v>
      </x:c>
      <x:c r="D10" s="20" t="str">
        <x:v>LinkedIn + Zalo + Điện thoại</x:v>
      </x:c>
      <x:c r="E10" s="20" t="str">
        <x:v>SDR/Sales</x:v>
      </x:c>
      <x:c r="F10" s="20" t="str">
        <x:v>Founder</x:v>
      </x:c>
      <x:c r="G10" s="20" t="str">
        <x:v>50 liên hệ lũy kế; hồ sơ lead đầy đủ</x:v>
      </x:c>
      <x:c r="H10" s="20" t="str">
        <x:v>20 tiếp cận mới; 5 phản hồi; 4 call</x:v>
      </x:c>
      <x:c r="I10" s="20" t="str">
        <x:v>Lead đủ chuẩn có bước tiếp theo &amp; ngày hẹn</x:v>
      </x:c>
      <x:c r="J10" s="20" t="str">
        <x:v>P0</x:v>
      </x:c>
      <x:c r="K10" s="20" t="str">
        <x:v>Chưa bắt đầu</x:v>
      </x:c>
      <x:c r="L10" s="20" t="str"/>
      <x:c r="M10" s="20" t="str"/>
    </x:row>
    <x:row r="11">
      <x:c r="A11" s="22" t="n">
        <x:v>46231</x:v>
      </x:c>
      <x:c r="B11" s="20" t="str">
        <x:v>Báo giá &amp; khảo sát</x:v>
      </x:c>
      <x:c r="C11" s="20" t="str">
        <x:v>Ưu tiên tốc độ: lập báo giá theo danh sách thực; hẹn khảo sát/trao đổi vận hành. Chuẩn hóa 3 mẫu trả lời objection: giá, hồ sơ, tuyến giao/đổi hàng.</x:v>
      </x:c>
      <x:c r="D11" s="20" t="str">
        <x:v>Admin báo giá + Zalo + Phone</x:v>
      </x:c>
      <x:c r="E11" s="20" t="str">
        <x:v>Sales/Founder</x:v>
      </x:c>
      <x:c r="F11" s="20" t="str">
        <x:v>Ops + Mua hàng</x:v>
      </x:c>
      <x:c r="G11" s="20" t="str">
        <x:v>≥3 báo giá/khảo sát; objection library</x:v>
      </x:c>
      <x:c r="H11" s="20" t="str">
        <x:v>3 báo giá; 2 lịch hẹn</x:v>
      </x:c>
      <x:c r="I11" s="20" t="str">
        <x:v>Mỗi báo giá có next step trong 24h</x:v>
      </x:c>
      <x:c r="J11" s="20" t="str">
        <x:v>P0</x:v>
      </x:c>
      <x:c r="K11" s="20" t="str">
        <x:v>Chưa bắt đầu</x:v>
      </x:c>
      <x:c r="L11" s="20" t="str"/>
      <x:c r="M11" s="20" t="str"/>
    </x:row>
    <x:row r="12">
      <x:c r="A12" s="22" t="n">
        <x:v>46232</x:v>
      </x:c>
      <x:c r="B12" s="20" t="str">
        <x:v>Tối ưu theo dữ liệu thật</x:v>
      </x:c>
      <x:c r="C12" s="20" t="str">
        <x:v>Phân tích theo phân khúc/khu vực/thông điệp: tỷ lệ phản hồi, lead chuẩn, báo giá. Dừng thông điệp yếu; viết lại hook/CTA; chọn 1 nội dung và 1 nhóm account để nhân đôi.</x:v>
      </x:c>
      <x:c r="D12" s="20" t="str">
        <x:v>KPI sheet + Ads + CRM/Sheet</x:v>
      </x:c>
      <x:c r="E12" s="20" t="str">
        <x:v>Growth Lead</x:v>
      </x:c>
      <x:c r="F12" s="20" t="str">
        <x:v>Sales + Content</x:v>
      </x:c>
      <x:c r="G12" s="20" t="str">
        <x:v>Bảng learnings; quyết định keep/kill/test</x:v>
      </x:c>
      <x:c r="H12" s="20" t="str">
        <x:v>100% hoạt động có kết quả; 3 quyết định</x:v>
      </x:c>
      <x:c r="I12" s="20" t="str">
        <x:v>Không tối ưu theo like/impression đơn lẻ</x:v>
      </x:c>
      <x:c r="J12" s="20" t="str">
        <x:v>P0</x:v>
      </x:c>
      <x:c r="K12" s="20" t="str">
        <x:v>Chưa bắt đầu</x:v>
      </x:c>
      <x:c r="L12" s="20" t="str"/>
      <x:c r="M12" s="20" t="str"/>
    </x:row>
    <x:row r="13">
      <x:c r="A13" s="22" t="n">
        <x:v>46233</x:v>
      </x:c>
      <x:c r="B13" s="20" t="str">
        <x:v>Review &amp; sprint kế tiếp</x:v>
      </x:c>
      <x:c r="C13" s="20" t="str">
        <x:v>Họp 60 phút: xem pipeline, SLA, chất lượng lead, lý do mất. Chọn: scale outbound, tăng ads có kiểm soát, hoặc sửa offer/ICP. Lập backlog 14 ngày tiếp theo và owner.</x:v>
      </x:c>
      <x:c r="D13" s="20" t="str">
        <x:v>KPI + Pipeline review</x:v>
      </x:c>
      <x:c r="E13" s="20" t="str">
        <x:v>Founder/Growth</x:v>
      </x:c>
      <x:c r="F13" s="20" t="str">
        <x:v>Toàn team</x:v>
      </x:c>
      <x:c r="G13" s="20" t="str">
        <x:v>Decision memo; backlog 14 ngày; budget gate</x:v>
      </x:c>
      <x:c r="H13" s="20" t="str">
        <x:v>2 cơ hội rõ; 1 khách thử mục tiêu</x:v>
      </x:c>
      <x:c r="I13" s="20" t="str">
        <x:v>Quyết định dựa lead đủ chuẩn &amp; báo giá, không vanity</x:v>
      </x:c>
      <x:c r="J13" s="20" t="str">
        <x:v>P0</x:v>
      </x:c>
      <x:c r="K13" s="20" t="str">
        <x:v>Chưa bắt đầu</x:v>
      </x:c>
      <x:c r="L13" s="20" t="str"/>
      <x:c r="M13" s="20" t="str"/>
    </x:row>
  </x:sheetData>
  <x:mergeCells>
    <x:mergeCell ref="A1:M1"/>
  </x:mergeCells>
  <x:conditionalFormatting sqref="K4:K13">
    <x:cfRule type="containsText" dxfId="0" priority="1" operator="containsText" text="Hoàn thành"/>
    <x:cfRule type="containsText" dxfId="1" priority="2" operator="containsText" text="Chờ"/>
  </x:conditionalFormatting>
  <x:dataValidations count="2">
    <x:dataValidation type="list" sqref="J4:J13">
      <x:formula1>"P0,P1,P2"</x:formula1>
    </x:dataValidation>
    <x:dataValidation type="list" sqref="K4:K13">
      <x:formula1>"Chưa bắt đầu,Đang làm,Chờ,Hoàn thành"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c0fca83a584df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6" hidden="0" customWidth="1"/>
    <x:col min="4" max="4" width="22" hidden="0" customWidth="1"/>
    <x:col min="5" max="5" width="25" hidden="0" customWidth="1"/>
    <x:col min="6" max="6" width="23" hidden="0" customWidth="1"/>
    <x:col min="7" max="7" width="22" hidden="0" customWidth="1"/>
    <x:col min="8" max="8" width="32" hidden="0" customWidth="1"/>
    <x:col min="9" max="9" width="50" hidden="0" customWidth="1"/>
    <x:col min="10" max="10" width="20" hidden="0" customWidth="1"/>
    <x:col min="11" max="11" width="17" hidden="0" customWidth="1"/>
  </x:cols>
  <x:sheetData>
    <x:row r="1" ht="34" customHeight="1">
      <x:c r="A1" s="3" t="str">
        <x:v>Lịch nội dung đa kênh — 10 ngày (ưu tiên tạo hội thoại, không chạy theo số lượng)</x:v>
      </x:c>
      <x:c r="B1" s="3" t="str">
        <x:v>Lịch nội dung đa kênh — 10 ngày (ưu tiên tạo hội thoại, không chạy theo số lượng)</x:v>
      </x:c>
      <x:c r="C1" s="3" t="str">
        <x:v>Lịch nội dung đa kênh — 10 ngày (ưu tiên tạo hội thoại, không chạy theo số lượng)</x:v>
      </x:c>
      <x:c r="D1" s="3" t="str">
        <x:v>Lịch nội dung đa kênh — 10 ngày (ưu tiên tạo hội thoại, không chạy theo số lượng)</x:v>
      </x:c>
      <x:c r="E1" s="3" t="str">
        <x:v>Lịch nội dung đa kênh — 10 ngày (ưu tiên tạo hội thoại, không chạy theo số lượng)</x:v>
      </x:c>
      <x:c r="F1" s="3" t="str">
        <x:v>Lịch nội dung đa kênh — 10 ngày (ưu tiên tạo hội thoại, không chạy theo số lượng)</x:v>
      </x:c>
      <x:c r="G1" s="3" t="str">
        <x:v>Lịch nội dung đa kênh — 10 ngày (ưu tiên tạo hội thoại, không chạy theo số lượng)</x:v>
      </x:c>
      <x:c r="H1" s="3" t="str">
        <x:v>Lịch nội dung đa kênh — 10 ngày (ưu tiên tạo hội thoại, không chạy theo số lượng)</x:v>
      </x:c>
      <x:c r="I1" s="3" t="str">
        <x:v>Lịch nội dung đa kênh — 10 ngày (ưu tiên tạo hội thoại, không chạy theo số lượng)</x:v>
      </x:c>
      <x:c r="J1" s="3" t="str">
        <x:v>Lịch nội dung đa kênh — 10 ngày (ưu tiên tạo hội thoại, không chạy theo số lượng)</x:v>
      </x:c>
      <x:c r="K1" s="3" t="str">
        <x:v>Lịch nội dung đa kênh — 10 ngày (ưu tiên tạo hội thoại, không chạy theo số lượng)</x:v>
      </x:c>
    </x:row>
    <x:row r="3">
      <x:c r="A3" s="17" t="str">
        <x:v>Ngày</x:v>
      </x:c>
      <x:c r="B3" s="17" t="str">
        <x:v>Chủ đề / góc tiếp cận</x:v>
      </x:c>
      <x:c r="C3" s="17" t="str">
        <x:v>Đối tượng</x:v>
      </x:c>
      <x:c r="D3" s="17" t="str">
        <x:v>Định dạng gốc</x:v>
      </x:c>
      <x:c r="E3" s="17" t="str">
        <x:v>LinkedIn</x:v>
      </x:c>
      <x:c r="F3" s="17" t="str">
        <x:v>Zalo OA</x:v>
      </x:c>
      <x:c r="G3" s="17" t="str">
        <x:v>Website</x:v>
      </x:c>
      <x:c r="H3" s="17" t="str">
        <x:v>CTA</x:v>
      </x:c>
      <x:c r="I3" s="17" t="str">
        <x:v>Bằng chứng cần có</x:v>
      </x:c>
      <x:c r="J3" s="17" t="str">
        <x:v>Owner</x:v>
      </x:c>
      <x:c r="K3" s="17" t="str">
        <x:v>Trạng thái</x:v>
      </x:c>
    </x:row>
    <x:row r="4">
      <x:c r="A4" s="23" t="n">
        <x:v>46226</x:v>
      </x:c>
      <x:c r="B4" s="20" t="str">
        <x:v>Checklist chọn nhà cung cấp thực phẩm B2B</x:v>
      </x:c>
      <x:c r="C4" s="20" t="str">
        <x:v>Mua hàng / vận hành</x:v>
      </x:c>
      <x:c r="D4" s="20" t="str">
        <x:v>Checklist 8 điểm</x:v>
      </x:c>
      <x:c r="E4" s="20" t="str">
        <x:v>Carousel 6–8 slide</x:v>
      </x:c>
      <x:c r="F4" s="20" t="str">
        <x:v>Bài ngắn + file</x:v>
      </x:c>
      <x:c r="G4" s="20" t="str">
        <x:v>Bài kiến thức</x:v>
      </x:c>
      <x:c r="H4" s="20" t="str">
        <x:v>Gửi danh sách nhu cầu để đối chiếu</x:v>
      </x:c>
      <x:c r="I4" s="20" t="str">
        <x:v>Chứng nhận/quy trình thực tế</x:v>
      </x:c>
      <x:c r="J4" s="20" t="str">
        <x:v>Content</x:v>
      </x:c>
      <x:c r="K4" s="20" t="str">
        <x:v>Chưa bắt đầu</x:v>
      </x:c>
    </x:row>
    <x:row r="5">
      <x:c r="A5" s="23" t="n">
        <x:v>46228</x:v>
      </x:c>
      <x:c r="B5" s="20" t="str">
        <x:v>Một đầu mối nhiều nhóm hàng giúp bếp giảm việc gì?</x:v>
      </x:c>
      <x:c r="C5" s="20" t="str">
        <x:v>Bếp trưởng / quản lý suất ăn</x:v>
      </x:c>
      <x:c r="D5" s="20" t="str">
        <x:v>Case/problem-solution</x:v>
      </x:c>
      <x:c r="E5" s="20" t="str">
        <x:v>Post founder POV</x:v>
      </x:c>
      <x:c r="F5" s="20" t="str">
        <x:v>Ảnh + 5 ý</x:v>
      </x:c>
      <x:c r="G5" s="20" t="str">
        <x:v>Bài SEO ngắn</x:v>
      </x:c>
      <x:c r="H5" s="20" t="str">
        <x:v>Nhắn khu vực + số suất/ngày</x:v>
      </x:c>
      <x:c r="I5" s="20" t="str">
        <x:v>Danh mục 5.195 SKU là dữ liệu thô, chỉ dùng nhóm hàng đã xác nhận cung ứng</x:v>
      </x:c>
      <x:c r="J5" s="20" t="str">
        <x:v>Founder + Content</x:v>
      </x:c>
      <x:c r="K5" s="20" t="str">
        <x:v>Chưa bắt đầu</x:v>
      </x:c>
    </x:row>
    <x:row r="6">
      <x:c r="A6" s="23" t="n">
        <x:v>46230</x:v>
      </x:c>
      <x:c r="B6" s="20" t="str">
        <x:v>Trước khi hỏi giá, cần chốt tuyến và quy cách</x:v>
      </x:c>
      <x:c r="C6" s="20" t="str">
        <x:v>Mua hàng / bếp</x:v>
      </x:c>
      <x:c r="D6" s="20" t="str">
        <x:v>Mẫu danh sách nhu cầu</x:v>
      </x:c>
      <x:c r="E6" s="20" t="str">
        <x:v>Document post</x:v>
      </x:c>
      <x:c r="F6" s="20" t="str">
        <x:v>Bài OA + link form</x:v>
      </x:c>
      <x:c r="G6" s="20" t="str">
        <x:v>Landing local/RFQ</x:v>
      </x:c>
      <x:c r="H6" s="20" t="str">
        <x:v>Nhận mẫu danh sách đặt hàng</x:v>
      </x:c>
      <x:c r="I6" s="20" t="str">
        <x:v>Tuyến giao và quy cách thực tế</x:v>
      </x:c>
      <x:c r="J6" s="20" t="str">
        <x:v>Ops + Content</x:v>
      </x:c>
      <x:c r="K6" s="20" t="str">
        <x:v>Chưa bắt đầu</x:v>
      </x:c>
    </x:row>
    <x:row r="7">
      <x:c r="A7" s="23" t="n">
        <x:v>46232</x:v>
      </x:c>
      <x:c r="B7" s="20" t="str">
        <x:v>Hồ sơ nhà cung cấp: bộ phận mua hàng cần gì?</x:v>
      </x:c>
      <x:c r="C7" s="20" t="str">
        <x:v>Procurement / QA</x:v>
      </x:c>
      <x:c r="D7" s="20" t="str">
        <x:v>Guide + proof</x:v>
      </x:c>
      <x:c r="E7" s="20" t="str">
        <x:v>Carousel</x:v>
      </x:c>
      <x:c r="F7" s="20" t="str">
        <x:v>Post proof</x:v>
      </x:c>
      <x:c r="G7" s="20" t="str">
        <x:v>Bài kiến thức</x:v>
      </x:c>
      <x:c r="H7" s="20" t="str">
        <x:v>Nhận checklist hồ sơ</x:v>
      </x:c>
      <x:c r="I7" s="20" t="str">
        <x:v>ATVSTP, ISO 22000:2018, HACCP — kiểm tra hiệu lực trước khi đăng</x:v>
      </x:c>
      <x:c r="J7" s="20" t="str">
        <x:v>QA/Ops</x:v>
      </x:c>
      <x:c r="K7" s="20" t="str">
        <x:v>Chưa bắt đầu</x:v>
      </x:c>
    </x:row>
    <x:row r="8">
      <x:c r="A8" s="23" t="n">
        <x:v>46233</x:v>
      </x:c>
      <x:c r="B8" s="20" t="str">
        <x:v>Câu hỏi thật từ khách hàng tuần này</x:v>
      </x:c>
      <x:c r="C8" s="20" t="str">
        <x:v>Nhà máy/KCN</x:v>
      </x:c>
      <x:c r="D8" s="20" t="str">
        <x:v>FAQ / objection</x:v>
      </x:c>
      <x:c r="E8" s="20" t="str">
        <x:v>Founder recap</x:v>
      </x:c>
      <x:c r="F8" s="20" t="str">
        <x:v>FAQ ngắn</x:v>
      </x:c>
      <x:c r="G8" s="20" t="str">
        <x:v>Cập nhật FAQ</x:v>
      </x:c>
      <x:c r="H8" s="20" t="str">
        <x:v>Đặt lịch 10 phút</x:v>
      </x:c>
      <x:c r="I8" s="20" t="str">
        <x:v>Log cuộc gọi, ẩn thông tin nhạy cảm</x:v>
      </x:c>
      <x:c r="J8" s="20" t="str">
        <x:v>Founder</x:v>
      </x:c>
      <x:c r="K8" s="20" t="str">
        <x:v>Chưa bắt đầu</x:v>
      </x:c>
    </x:row>
  </x:sheetData>
  <x:mergeCells>
    <x:mergeCell ref="A1:K1"/>
  </x:mergeCells>
  <x:dataValidations count="1">
    <x:dataValidation type="list" sqref="K4:K8">
      <x:formula1>"Chưa bắt đầu,Đang làm,Duyệt,Đã đăng"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a08b89c99943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30" hidden="0" customWidth="1"/>
    <x:col min="5" max="5" width="30" hidden="0" customWidth="1"/>
    <x:col min="6" max="6" width="23" hidden="0" customWidth="1"/>
    <x:col min="7" max="7" width="27" hidden="0" customWidth="1"/>
    <x:col min="8" max="8" width="28" hidden="0" customWidth="1"/>
    <x:col min="9" max="9" width="22" hidden="0" customWidth="1"/>
    <x:col min="10" max="10" width="35" hidden="0" customWidth="1"/>
    <x:col min="11" max="11" width="34" hidden="0" customWidth="1"/>
    <x:col min="12" max="12" width="11" hidden="0" customWidth="1"/>
    <x:col min="13" max="13" width="19" hidden="0" customWidth="1"/>
    <x:col min="14" max="14" width="30" hidden="0" customWidth="1"/>
  </x:cols>
  <x:sheetData>
    <x:row r="1" ht="34" customHeight="1">
      <x:c r="A1" s="3" t="str">
        <x:v>Tệp khách hàng mục tiêu — cấu trúc để team điền và ưu tiên</x:v>
      </x:c>
      <x:c r="B1" s="3" t="str">
        <x:v>Tệp khách hàng mục tiêu — cấu trúc để team điền và ưu tiên</x:v>
      </x:c>
      <x:c r="C1" s="3" t="str">
        <x:v>Tệp khách hàng mục tiêu — cấu trúc để team điền và ưu tiên</x:v>
      </x:c>
      <x:c r="D1" s="3" t="str">
        <x:v>Tệp khách hàng mục tiêu — cấu trúc để team điền và ưu tiên</x:v>
      </x:c>
      <x:c r="E1" s="3" t="str">
        <x:v>Tệp khách hàng mục tiêu — cấu trúc để team điền và ưu tiên</x:v>
      </x:c>
      <x:c r="F1" s="3" t="str">
        <x:v>Tệp khách hàng mục tiêu — cấu trúc để team điền và ưu tiên</x:v>
      </x:c>
      <x:c r="G1" s="3" t="str">
        <x:v>Tệp khách hàng mục tiêu — cấu trúc để team điền và ưu tiên</x:v>
      </x:c>
      <x:c r="H1" s="3" t="str">
        <x:v>Tệp khách hàng mục tiêu — cấu trúc để team điền và ưu tiên</x:v>
      </x:c>
      <x:c r="I1" s="3" t="str">
        <x:v>Tệp khách hàng mục tiêu — cấu trúc để team điền và ưu tiên</x:v>
      </x:c>
      <x:c r="J1" s="3" t="str">
        <x:v>Tệp khách hàng mục tiêu — cấu trúc để team điền và ưu tiên</x:v>
      </x:c>
      <x:c r="K1" s="3" t="str">
        <x:v>Tệp khách hàng mục tiêu — cấu trúc để team điền và ưu tiên</x:v>
      </x:c>
      <x:c r="L1" s="3" t="str">
        <x:v>Tệp khách hàng mục tiêu — cấu trúc để team điền và ưu tiên</x:v>
      </x:c>
      <x:c r="M1" s="3" t="str">
        <x:v>Tệp khách hàng mục tiêu — cấu trúc để team điền và ưu tiên</x:v>
      </x:c>
      <x:c r="N1" s="3" t="str">
        <x:v>Tệp khách hàng mục tiêu — cấu trúc để team điền và ưu tiên</x:v>
      </x:c>
    </x:row>
    <x:row r="3">
      <x:c r="A3" s="17" t="str">
        <x:v>Tier</x:v>
      </x:c>
      <x:c r="B3" s="17" t="str">
        <x:v>Phân khúc</x:v>
      </x:c>
      <x:c r="C3" s="17" t="str">
        <x:v>Khu vực</x:v>
      </x:c>
      <x:c r="D3" s="17" t="str">
        <x:v>Tên doanh nghiệp</x:v>
      </x:c>
      <x:c r="E3" s="17" t="str">
        <x:v>Website/Maps</x:v>
      </x:c>
      <x:c r="F3" s="17" t="str">
        <x:v>Người liên hệ</x:v>
      </x:c>
      <x:c r="G3" s="17" t="str">
        <x:v>Vai trò</x:v>
      </x:c>
      <x:c r="H3" s="17" t="str">
        <x:v>LinkedIn</x:v>
      </x:c>
      <x:c r="I3" s="17" t="str">
        <x:v>Điện thoại/Zalo</x:v>
      </x:c>
      <x:c r="J3" s="17" t="str">
        <x:v>Nhu cầu giả định</x:v>
      </x:c>
      <x:c r="K3" s="17" t="str">
        <x:v>Lý do fit</x:v>
      </x:c>
      <x:c r="L3" s="17" t="str">
        <x:v>Điểm fit</x:v>
      </x:c>
      <x:c r="M3" s="17" t="str">
        <x:v>Trạng thái</x:v>
      </x:c>
      <x:c r="N3" s="17" t="str">
        <x:v>Bước tiếp theo</x:v>
      </x:c>
    </x:row>
    <x:row r="4">
      <x:c r="A4" s="20" t="str">
        <x:v>A</x:v>
      </x:c>
      <x:c r="B4" s="20" t="str">
        <x:v>Nhà máy / KCN</x:v>
      </x:c>
      <x:c r="C4" s="20" t="str">
        <x:v>Biên Hòa / Amata</x:v>
      </x:c>
      <x:c r="D4" s="20" t="str"/>
      <x:c r="E4" s="20" t="str"/>
      <x:c r="F4" s="20" t="str"/>
      <x:c r="G4" s="20" t="str">
        <x:v>Mua hàng / Hành chính / Bếp</x:v>
      </x:c>
      <x:c r="H4" s="20" t="str"/>
      <x:c r="I4" s="20" t="str"/>
      <x:c r="J4" s="20" t="str">
        <x:v>Nguồn hàng định kỳ, nhiều nhóm</x:v>
      </x:c>
      <x:c r="K4" s="20" t="str">
        <x:v>Tuyến gần + nhu cầu đều</x:v>
      </x:c>
      <x:c r="L4" s="24" t="n">
        <x:v>90</x:v>
      </x:c>
      <x:c r="M4" s="20" t="str">
        <x:v>Chưa tiếp cận</x:v>
      </x:c>
      <x:c r="N4" s="20" t="str"/>
    </x:row>
    <x:row r="5">
      <x:c r="A5" s="20" t="str">
        <x:v>A</x:v>
      </x:c>
      <x:c r="B5" s="20" t="str">
        <x:v>Công ty suất ăn</x:v>
      </x:c>
      <x:c r="C5" s="20" t="str">
        <x:v>Đồng Nai</x:v>
      </x:c>
      <x:c r="D5" s="20" t="str"/>
      <x:c r="E5" s="20" t="str"/>
      <x:c r="F5" s="20" t="str"/>
      <x:c r="G5" s="20" t="str">
        <x:v>Giám đốc / Thu mua / Điều hành</x:v>
      </x:c>
      <x:c r="H5" s="20" t="str"/>
      <x:c r="I5" s="20" t="str"/>
      <x:c r="J5" s="20" t="str">
        <x:v>Bổ sung nguồn cung, xử lý thiếu hàng</x:v>
      </x:c>
      <x:c r="K5" s="20" t="str">
        <x:v>Có tệp bếp đang vận hành</x:v>
      </x:c>
      <x:c r="L5" s="24" t="n">
        <x:v>90</x:v>
      </x:c>
      <x:c r="M5" s="20" t="str">
        <x:v>Chưa tiếp cận</x:v>
      </x:c>
      <x:c r="N5" s="20" t="str"/>
    </x:row>
    <x:row r="6">
      <x:c r="A6" s="20" t="str">
        <x:v>A</x:v>
      </x:c>
      <x:c r="B6" s="20" t="str">
        <x:v>Bếp ăn tập thể</x:v>
      </x:c>
      <x:c r="C6" s="20" t="str">
        <x:v>Long Thành / Nhơn Trạch</x:v>
      </x:c>
      <x:c r="D6" s="20" t="str"/>
      <x:c r="E6" s="20" t="str"/>
      <x:c r="F6" s="20" t="str"/>
      <x:c r="G6" s="20" t="str">
        <x:v>Quản lý bếp / Thu mua</x:v>
      </x:c>
      <x:c r="H6" s="20" t="str"/>
      <x:c r="I6" s="20" t="str"/>
      <x:c r="J6" s="20" t="str">
        <x:v>Rau củ, thịt cá, đông lạnh định kỳ</x:v>
      </x:c>
      <x:c r="K6" s="20" t="str">
        <x:v>Tuyến mục tiêu + pain rõ</x:v>
      </x:c>
      <x:c r="L6" s="24" t="n">
        <x:v>85</x:v>
      </x:c>
      <x:c r="M6" s="20" t="str">
        <x:v>Chưa tiếp cận</x:v>
      </x:c>
      <x:c r="N6" s="20" t="str"/>
    </x:row>
    <x:row r="7">
      <x:c r="A7" s="20" t="str">
        <x:v>B</x:v>
      </x:c>
      <x:c r="B7" s="20" t="str">
        <x:v>Trường học / Bệnh viện</x:v>
      </x:c>
      <x:c r="C7" s="20" t="str">
        <x:v>Biên Hòa</x:v>
      </x:c>
      <x:c r="D7" s="20" t="str"/>
      <x:c r="E7" s="20" t="str"/>
      <x:c r="F7" s="20" t="str"/>
      <x:c r="G7" s="20" t="str">
        <x:v>Hành chính / Dinh dưỡng / Thu mua</x:v>
      </x:c>
      <x:c r="H7" s="20" t="str"/>
      <x:c r="I7" s="20" t="str"/>
      <x:c r="J7" s="20" t="str">
        <x:v>Hồ sơ, ATVSTP, giao đúng giờ</x:v>
      </x:c>
      <x:c r="K7" s="20" t="str">
        <x:v>Proof/certification phù hợp</x:v>
      </x:c>
      <x:c r="L7" s="24" t="n">
        <x:v>75</x:v>
      </x:c>
      <x:c r="M7" s="20" t="str">
        <x:v>Chưa tiếp cận</x:v>
      </x:c>
      <x:c r="N7" s="20" t="str"/>
    </x:row>
    <x:row r="8">
      <x:c r="A8" s="20" t="str">
        <x:v>B</x:v>
      </x:c>
      <x:c r="B8" s="20" t="str">
        <x:v>Nhà hàng / Khách sạn</x:v>
      </x:c>
      <x:c r="C8" s="20" t="str">
        <x:v>Biên Hòa / TP.HCM gần tuyến</x:v>
      </x:c>
      <x:c r="D8" s="20" t="str"/>
      <x:c r="E8" s="20" t="str"/>
      <x:c r="F8" s="20" t="str"/>
      <x:c r="G8" s="20" t="str">
        <x:v>Bếp trưởng / Owner / Thu mua</x:v>
      </x:c>
      <x:c r="H8" s="20" t="str"/>
      <x:c r="I8" s="20" t="str"/>
      <x:c r="J8" s="20" t="str">
        <x:v>Rau củ, thịt cá, hàng đông lạnh</x:v>
      </x:c>
      <x:c r="K8" s="20" t="str">
        <x:v>Tần suất cao nhưng đơn nhỏ hơn</x:v>
      </x:c>
      <x:c r="L8" s="24" t="n">
        <x:v>65</x:v>
      </x:c>
      <x:c r="M8" s="20" t="str">
        <x:v>Chưa tiếp cận</x:v>
      </x:c>
      <x:c r="N8" s="20" t="str"/>
    </x:row>
    <x:row r="9">
      <x:c r="L9" s="25"/>
    </x:row>
    <x:row r="10">
      <x:c r="L10" s="25"/>
    </x:row>
    <x:row r="11">
      <x:c r="L11" s="25"/>
    </x:row>
    <x:row r="12">
      <x:c r="L12" s="25"/>
    </x:row>
    <x:row r="13">
      <x:c r="L13" s="25"/>
    </x:row>
    <x:row r="14">
      <x:c r="L14" s="25"/>
    </x:row>
    <x:row r="15">
      <x:c r="L15" s="25"/>
    </x:row>
    <x:row r="16">
      <x:c r="L16" s="25"/>
    </x:row>
    <x:row r="17">
      <x:c r="L17" s="25"/>
    </x:row>
    <x:row r="18">
      <x:c r="L18" s="25"/>
    </x:row>
    <x:row r="19">
      <x:c r="L19" s="25"/>
    </x:row>
    <x:row r="20">
      <x:c r="L20" s="25"/>
    </x:row>
    <x:row r="21">
      <x:c r="L21" s="25"/>
    </x:row>
    <x:row r="22">
      <x:c r="L22" s="25"/>
    </x:row>
    <x:row r="23">
      <x:c r="L23" s="25"/>
    </x:row>
    <x:row r="24">
      <x:c r="L24" s="25"/>
    </x:row>
    <x:row r="25">
      <x:c r="L25" s="25"/>
    </x:row>
    <x:row r="26">
      <x:c r="L26" s="25"/>
    </x:row>
    <x:row r="27">
      <x:c r="L27" s="25"/>
    </x:row>
    <x:row r="28">
      <x:c r="L28" s="25"/>
    </x:row>
    <x:row r="29">
      <x:c r="L29" s="25"/>
    </x:row>
    <x:row r="30">
      <x:c r="L30" s="25"/>
    </x:row>
    <x:row r="31">
      <x:c r="L31" s="25"/>
    </x:row>
    <x:row r="32">
      <x:c r="L32" s="25"/>
    </x:row>
    <x:row r="33">
      <x:c r="L33" s="25"/>
    </x:row>
    <x:row r="34">
      <x:c r="L34" s="25"/>
    </x:row>
    <x:row r="35">
      <x:c r="L35" s="25"/>
    </x:row>
    <x:row r="36">
      <x:c r="L36" s="25"/>
    </x:row>
    <x:row r="37">
      <x:c r="L37" s="25"/>
    </x:row>
    <x:row r="38">
      <x:c r="L38" s="25"/>
    </x:row>
    <x:row r="39">
      <x:c r="L39" s="25"/>
    </x:row>
    <x:row r="40">
      <x:c r="L40" s="25"/>
    </x:row>
    <x:row r="41">
      <x:c r="L41" s="25"/>
    </x:row>
    <x:row r="42">
      <x:c r="L42" s="25"/>
    </x:row>
    <x:row r="43">
      <x:c r="L43" s="25"/>
    </x:row>
    <x:row r="44">
      <x:c r="L44" s="25"/>
    </x:row>
    <x:row r="45">
      <x:c r="L45" s="25"/>
    </x:row>
    <x:row r="46">
      <x:c r="L46" s="25"/>
    </x:row>
    <x:row r="47">
      <x:c r="L47" s="25"/>
    </x:row>
    <x:row r="48">
      <x:c r="L48" s="25"/>
    </x:row>
    <x:row r="49">
      <x:c r="L49" s="25"/>
    </x:row>
    <x:row r="50">
      <x:c r="L50" s="25"/>
    </x:row>
    <x:row r="51">
      <x:c r="L51" s="25"/>
    </x:row>
    <x:row r="52">
      <x:c r="L52" s="25"/>
    </x:row>
    <x:row r="53">
      <x:c r="L53" s="25"/>
    </x:row>
    <x:row r="54">
      <x:c r="L54" s="25"/>
    </x:row>
    <x:row r="55">
      <x:c r="L55" s="25"/>
    </x:row>
    <x:row r="56">
      <x:c r="L56" s="25"/>
    </x:row>
    <x:row r="57">
      <x:c r="L57" s="25"/>
    </x:row>
    <x:row r="58">
      <x:c r="L58" s="25"/>
    </x:row>
    <x:row r="59">
      <x:c r="L59" s="25"/>
    </x:row>
    <x:row r="60">
      <x:c r="L60" s="25"/>
    </x:row>
    <x:row r="61">
      <x:c r="L61" s="25"/>
    </x:row>
    <x:row r="62">
      <x:c r="L62" s="25"/>
    </x:row>
    <x:row r="63">
      <x:c r="L63" s="25"/>
    </x:row>
  </x:sheetData>
  <x:mergeCells>
    <x:mergeCell ref="A1:N1"/>
  </x:mergeCells>
  <x:conditionalFormatting sqref="L4:L63">
    <x:cfRule type="colorScale" priority="1">
      <x:colorScale>
        <x:cfvo type="min"/>
        <x:cfvo type="percentile" val="50"/>
        <x:cfvo type="max"/>
        <x:color rgb="FFF8D7DA"/>
        <x:color rgb="FFFFF1B8"/>
        <x:color rgb="FFC6EFCE"/>
      </x:colorScale>
    </x:cfRule>
  </x:conditionalFormatting>
  <x:dataValidations count="2">
    <x:dataValidation type="list" sqref="A4:A63">
      <x:formula1>"A,B,C"</x:formula1>
    </x:dataValidation>
    <x:dataValidation type="list" sqref="M4:M63">
      <x:formula1>"Chưa tiếp cận,Đã nhắn,Đã phản hồi,Đã gọi,Lead đủ chuẩn,Đã báo giá,Không phù hợp"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be3224cb654c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6" hidden="0" customWidth="1"/>
    <x:col min="4" max="4" width="12" hidden="0" customWidth="1"/>
    <x:col min="5" max="5" width="17" hidden="0" customWidth="1"/>
    <x:col min="6" max="6" width="12" hidden="0" customWidth="1"/>
    <x:col min="7" max="7" width="17" hidden="0" customWidth="1"/>
    <x:col min="8" max="8" width="18" hidden="0" customWidth="1"/>
    <x:col min="9" max="9" width="19" hidden="0" customWidth="1"/>
    <x:col min="10" max="10" width="12" hidden="0" customWidth="1"/>
    <x:col min="11" max="11" width="16" hidden="0" customWidth="1"/>
    <x:col min="12" max="12" width="18" hidden="0" customWidth="1"/>
    <x:col min="13" max="13" width="16" hidden="0" customWidth="1"/>
    <x:col min="14" max="14" width="17" hidden="0" customWidth="1"/>
    <x:col min="15" max="15" width="17" hidden="0" customWidth="1"/>
    <x:col min="16" max="16" width="45" hidden="0" customWidth="1"/>
  </x:cols>
  <x:sheetData>
    <x:row r="1" ht="34" customHeight="1">
      <x:c r="A1" s="3" t="str">
        <x:v>KPI &amp; Daily Check-in — đo pipeline, không đo vanity</x:v>
      </x:c>
      <x:c r="B1" s="3" t="str">
        <x:v>KPI &amp; Daily Check-in — đo pipeline, không đo vanity</x:v>
      </x:c>
      <x:c r="C1" s="3" t="str">
        <x:v>KPI &amp; Daily Check-in — đo pipeline, không đo vanity</x:v>
      </x:c>
      <x:c r="D1" s="3" t="str">
        <x:v>KPI &amp; Daily Check-in — đo pipeline, không đo vanity</x:v>
      </x:c>
      <x:c r="E1" s="3" t="str">
        <x:v>KPI &amp; Daily Check-in — đo pipeline, không đo vanity</x:v>
      </x:c>
      <x:c r="F1" s="3" t="str">
        <x:v>KPI &amp; Daily Check-in — đo pipeline, không đo vanity</x:v>
      </x:c>
      <x:c r="G1" s="3" t="str">
        <x:v>KPI &amp; Daily Check-in — đo pipeline, không đo vanity</x:v>
      </x:c>
      <x:c r="H1" s="3" t="str">
        <x:v>KPI &amp; Daily Check-in — đo pipeline, không đo vanity</x:v>
      </x:c>
      <x:c r="I1" s="3" t="str">
        <x:v>KPI &amp; Daily Check-in — đo pipeline, không đo vanity</x:v>
      </x:c>
      <x:c r="J1" s="3" t="str">
        <x:v>KPI &amp; Daily Check-in — đo pipeline, không đo vanity</x:v>
      </x:c>
      <x:c r="K1" s="3" t="str">
        <x:v>KPI &amp; Daily Check-in — đo pipeline, không đo vanity</x:v>
      </x:c>
      <x:c r="L1" s="3" t="str">
        <x:v>KPI &amp; Daily Check-in — đo pipeline, không đo vanity</x:v>
      </x:c>
      <x:c r="M1" s="3" t="str">
        <x:v>KPI &amp; Daily Check-in — đo pipeline, không đo vanity</x:v>
      </x:c>
      <x:c r="N1" s="3" t="str">
        <x:v>KPI &amp; Daily Check-in — đo pipeline, không đo vanity</x:v>
      </x:c>
      <x:c r="O1" s="3" t="str">
        <x:v>KPI &amp; Daily Check-in — đo pipeline, không đo vanity</x:v>
      </x:c>
      <x:c r="P1" s="3" t="str">
        <x:v>KPI &amp; Daily Check-in — đo pipeline, không đo vanity</x:v>
      </x:c>
    </x:row>
    <x:row r="3">
      <x:c r="A3" s="17" t="str">
        <x:v>Ngày</x:v>
      </x:c>
      <x:c r="B3" s="17" t="str">
        <x:v>Account mới</x:v>
      </x:c>
      <x:c r="C3" s="17" t="str">
        <x:v>Contact tìm được</x:v>
      </x:c>
      <x:c r="D3" s="17" t="str">
        <x:v>Tiếp cận</x:v>
      </x:c>
      <x:c r="E3" s="17" t="str">
        <x:v>Phản hồi 2 chiều</x:v>
      </x:c>
      <x:c r="F3" s="17" t="str">
        <x:v>Cuộc gọi</x:v>
      </x:c>
      <x:c r="G3" s="17" t="str">
        <x:v>Lead đủ chuẩn</x:v>
      </x:c>
      <x:c r="H3" s="17" t="str">
        <x:v>Danh sách nhu cầu</x:v>
      </x:c>
      <x:c r="I3" s="17" t="str">
        <x:v>Báo giá/khảo sát</x:v>
      </x:c>
      <x:c r="J3" s="17" t="str">
        <x:v>Khách thử</x:v>
      </x:c>
      <x:c r="K3" s="17" t="str">
        <x:v>Chi phí ads</x:v>
      </x:c>
      <x:c r="L3" s="17" t="str">
        <x:v>Phút phản hồi TB</x:v>
      </x:c>
      <x:c r="M3" s="17" t="str">
        <x:v>Tỷ lệ phản hồi</x:v>
      </x:c>
      <x:c r="N3" s="17" t="str">
        <x:v>Tỷ lệ đủ chuẩn</x:v>
      </x:c>
      <x:c r="O3" s="17" t="str">
        <x:v>CPL đủ chuẩn</x:v>
      </x:c>
      <x:c r="P3" s="17" t="str">
        <x:v>Bài học / quyết định</x:v>
      </x:c>
    </x:row>
    <x:row r="4">
      <x:c r="A4" s="23" t="n">
        <x:v>46224</x:v>
      </x:c>
      <x:c r="B4" s="20" t="n">
        <x:v>0</x:v>
      </x:c>
      <x:c r="C4" s="20" t="n">
        <x:v>0</x:v>
      </x:c>
      <x:c r="D4" s="20" t="n">
        <x:v>0</x:v>
      </x:c>
      <x:c r="E4" s="20" t="n">
        <x:v>0</x:v>
      </x:c>
      <x:c r="F4" s="20" t="n">
        <x:v>0</x:v>
      </x:c>
      <x:c r="G4" s="20" t="n">
        <x:v>0</x:v>
      </x:c>
      <x:c r="H4" s="20" t="n">
        <x:v>0</x:v>
      </x:c>
      <x:c r="I4" s="20" t="n">
        <x:v>0</x:v>
      </x:c>
      <x:c r="J4" s="20" t="n">
        <x:v>0</x:v>
      </x:c>
      <x:c r="K4" s="27" t="n">
        <x:v>0</x:v>
      </x:c>
      <x:c r="L4" s="20" t="n">
        <x:v>0</x:v>
      </x:c>
      <x:c r="M4" s="26" t="n">
        <x:f>IFERROR(E4/D4,0)</x:f>
        <x:v>0</x:v>
      </x:c>
      <x:c r="N4" s="26" t="n">
        <x:f>IFERROR(G4/E4,0)</x:f>
        <x:v>0</x:v>
      </x:c>
      <x:c r="O4" s="27" t="n">
        <x:f>IFERROR(K4/G4,0)</x:f>
        <x:v>0</x:v>
      </x:c>
      <x:c r="P4" s="20" t="str"/>
    </x:row>
    <x:row r="5">
      <x:c r="A5" s="23" t="n">
        <x:v>46225</x:v>
      </x:c>
      <x:c r="B5" s="20" t="n">
        <x:v>0</x:v>
      </x:c>
      <x:c r="C5" s="20" t="n">
        <x:v>0</x:v>
      </x:c>
      <x:c r="D5" s="20" t="n">
        <x:v>0</x:v>
      </x:c>
      <x:c r="E5" s="20" t="n">
        <x:v>0</x:v>
      </x:c>
      <x:c r="F5" s="20" t="n">
        <x:v>0</x:v>
      </x:c>
      <x:c r="G5" s="20" t="n">
        <x:v>0</x:v>
      </x:c>
      <x:c r="H5" s="20" t="n">
        <x:v>0</x:v>
      </x:c>
      <x:c r="I5" s="20" t="n">
        <x:v>0</x:v>
      </x:c>
      <x:c r="J5" s="20" t="n">
        <x:v>0</x:v>
      </x:c>
      <x:c r="K5" s="27" t="n">
        <x:v>0</x:v>
      </x:c>
      <x:c r="L5" s="20" t="n">
        <x:v>0</x:v>
      </x:c>
      <x:c r="M5" s="26" t="n">
        <x:f>IFERROR(E5/D5,0)</x:f>
        <x:v>0</x:v>
      </x:c>
      <x:c r="N5" s="26" t="n">
        <x:f>IFERROR(G5/E5,0)</x:f>
        <x:v>0</x:v>
      </x:c>
      <x:c r="O5" s="27" t="n">
        <x:f>IFERROR(K5/G5,0)</x:f>
        <x:v>0</x:v>
      </x:c>
      <x:c r="P5" s="20" t="str"/>
    </x:row>
    <x:row r="6">
      <x:c r="A6" s="23" t="n">
        <x:v>46226</x:v>
      </x:c>
      <x:c r="B6" s="20" t="n">
        <x:v>0</x:v>
      </x:c>
      <x:c r="C6" s="20" t="n">
        <x:v>0</x:v>
      </x:c>
      <x:c r="D6" s="20" t="n">
        <x:v>0</x:v>
      </x:c>
      <x:c r="E6" s="20" t="n">
        <x:v>0</x:v>
      </x:c>
      <x:c r="F6" s="20" t="n">
        <x:v>0</x:v>
      </x:c>
      <x:c r="G6" s="20" t="n">
        <x:v>0</x:v>
      </x:c>
      <x:c r="H6" s="20" t="n">
        <x:v>0</x:v>
      </x:c>
      <x:c r="I6" s="20" t="n">
        <x:v>0</x:v>
      </x:c>
      <x:c r="J6" s="20" t="n">
        <x:v>0</x:v>
      </x:c>
      <x:c r="K6" s="27" t="n">
        <x:v>0</x:v>
      </x:c>
      <x:c r="L6" s="20" t="n">
        <x:v>0</x:v>
      </x:c>
      <x:c r="M6" s="26" t="n">
        <x:f>IFERROR(E6/D6,0)</x:f>
        <x:v>0</x:v>
      </x:c>
      <x:c r="N6" s="26" t="n">
        <x:f>IFERROR(G6/E6,0)</x:f>
        <x:v>0</x:v>
      </x:c>
      <x:c r="O6" s="27" t="n">
        <x:f>IFERROR(K6/G6,0)</x:f>
        <x:v>0</x:v>
      </x:c>
      <x:c r="P6" s="20" t="str"/>
    </x:row>
    <x:row r="7">
      <x:c r="A7" s="23" t="n">
        <x:v>46227</x:v>
      </x:c>
      <x:c r="B7" s="20" t="n">
        <x:v>0</x:v>
      </x:c>
      <x:c r="C7" s="20" t="n">
        <x:v>0</x:v>
      </x:c>
      <x:c r="D7" s="20" t="n">
        <x:v>0</x:v>
      </x:c>
      <x:c r="E7" s="20" t="n">
        <x:v>0</x:v>
      </x:c>
      <x:c r="F7" s="20" t="n">
        <x:v>0</x:v>
      </x:c>
      <x:c r="G7" s="20" t="n">
        <x:v>0</x:v>
      </x:c>
      <x:c r="H7" s="20" t="n">
        <x:v>0</x:v>
      </x:c>
      <x:c r="I7" s="20" t="n">
        <x:v>0</x:v>
      </x:c>
      <x:c r="J7" s="20" t="n">
        <x:v>0</x:v>
      </x:c>
      <x:c r="K7" s="27" t="n">
        <x:v>0</x:v>
      </x:c>
      <x:c r="L7" s="20" t="n">
        <x:v>0</x:v>
      </x:c>
      <x:c r="M7" s="26" t="n">
        <x:f>IFERROR(E7/D7,0)</x:f>
        <x:v>0</x:v>
      </x:c>
      <x:c r="N7" s="26" t="n">
        <x:f>IFERROR(G7/E7,0)</x:f>
        <x:v>0</x:v>
      </x:c>
      <x:c r="O7" s="27" t="n">
        <x:f>IFERROR(K7/G7,0)</x:f>
        <x:v>0</x:v>
      </x:c>
      <x:c r="P7" s="20" t="str"/>
    </x:row>
    <x:row r="8">
      <x:c r="A8" s="23" t="n">
        <x:v>46228</x:v>
      </x:c>
      <x:c r="B8" s="20" t="n">
        <x:v>0</x:v>
      </x:c>
      <x:c r="C8" s="20" t="n">
        <x:v>0</x:v>
      </x:c>
      <x:c r="D8" s="20" t="n">
        <x:v>0</x:v>
      </x:c>
      <x:c r="E8" s="20" t="n">
        <x:v>0</x:v>
      </x:c>
      <x:c r="F8" s="20" t="n">
        <x:v>0</x:v>
      </x:c>
      <x:c r="G8" s="20" t="n">
        <x:v>0</x:v>
      </x:c>
      <x:c r="H8" s="20" t="n">
        <x:v>0</x:v>
      </x:c>
      <x:c r="I8" s="20" t="n">
        <x:v>0</x:v>
      </x:c>
      <x:c r="J8" s="20" t="n">
        <x:v>0</x:v>
      </x:c>
      <x:c r="K8" s="27" t="n">
        <x:v>0</x:v>
      </x:c>
      <x:c r="L8" s="20" t="n">
        <x:v>0</x:v>
      </x:c>
      <x:c r="M8" s="26" t="n">
        <x:f>IFERROR(E8/D8,0)</x:f>
        <x:v>0</x:v>
      </x:c>
      <x:c r="N8" s="26" t="n">
        <x:f>IFERROR(G8/E8,0)</x:f>
        <x:v>0</x:v>
      </x:c>
      <x:c r="O8" s="27" t="n">
        <x:f>IFERROR(K8/G8,0)</x:f>
        <x:v>0</x:v>
      </x:c>
      <x:c r="P8" s="20" t="str"/>
    </x:row>
    <x:row r="9">
      <x:c r="A9" s="23" t="n">
        <x:v>46229</x:v>
      </x:c>
      <x:c r="B9" s="20" t="n">
        <x:v>0</x:v>
      </x:c>
      <x:c r="C9" s="20" t="n">
        <x:v>0</x:v>
      </x:c>
      <x:c r="D9" s="20" t="n">
        <x:v>0</x:v>
      </x:c>
      <x:c r="E9" s="20" t="n">
        <x:v>0</x:v>
      </x:c>
      <x:c r="F9" s="20" t="n">
        <x:v>0</x:v>
      </x:c>
      <x:c r="G9" s="20" t="n">
        <x:v>0</x:v>
      </x:c>
      <x:c r="H9" s="20" t="n">
        <x:v>0</x:v>
      </x:c>
      <x:c r="I9" s="20" t="n">
        <x:v>0</x:v>
      </x:c>
      <x:c r="J9" s="20" t="n">
        <x:v>0</x:v>
      </x:c>
      <x:c r="K9" s="27" t="n">
        <x:v>0</x:v>
      </x:c>
      <x:c r="L9" s="20" t="n">
        <x:v>0</x:v>
      </x:c>
      <x:c r="M9" s="26" t="n">
        <x:f>IFERROR(E9/D9,0)</x:f>
        <x:v>0</x:v>
      </x:c>
      <x:c r="N9" s="26" t="n">
        <x:f>IFERROR(G9/E9,0)</x:f>
        <x:v>0</x:v>
      </x:c>
      <x:c r="O9" s="27" t="n">
        <x:f>IFERROR(K9/G9,0)</x:f>
        <x:v>0</x:v>
      </x:c>
      <x:c r="P9" s="20" t="str"/>
    </x:row>
    <x:row r="10">
      <x:c r="A10" s="23" t="n">
        <x:v>46230</x:v>
      </x:c>
      <x:c r="B10" s="20" t="n">
        <x:v>0</x:v>
      </x:c>
      <x:c r="C10" s="20" t="n">
        <x:v>0</x:v>
      </x:c>
      <x:c r="D10" s="20" t="n">
        <x:v>0</x:v>
      </x:c>
      <x:c r="E10" s="20" t="n">
        <x:v>0</x:v>
      </x:c>
      <x:c r="F10" s="20" t="n">
        <x:v>0</x:v>
      </x:c>
      <x:c r="G10" s="20" t="n">
        <x:v>0</x:v>
      </x:c>
      <x:c r="H10" s="20" t="n">
        <x:v>0</x:v>
      </x:c>
      <x:c r="I10" s="20" t="n">
        <x:v>0</x:v>
      </x:c>
      <x:c r="J10" s="20" t="n">
        <x:v>0</x:v>
      </x:c>
      <x:c r="K10" s="27" t="n">
        <x:v>0</x:v>
      </x:c>
      <x:c r="L10" s="20" t="n">
        <x:v>0</x:v>
      </x:c>
      <x:c r="M10" s="26" t="n">
        <x:f>IFERROR(E10/D10,0)</x:f>
        <x:v>0</x:v>
      </x:c>
      <x:c r="N10" s="26" t="n">
        <x:f>IFERROR(G10/E10,0)</x:f>
        <x:v>0</x:v>
      </x:c>
      <x:c r="O10" s="27" t="n">
        <x:f>IFERROR(K10/G10,0)</x:f>
        <x:v>0</x:v>
      </x:c>
      <x:c r="P10" s="20" t="str"/>
    </x:row>
    <x:row r="11">
      <x:c r="A11" s="23" t="n">
        <x:v>46231</x:v>
      </x:c>
      <x:c r="B11" s="20" t="n">
        <x:v>0</x:v>
      </x:c>
      <x:c r="C11" s="20" t="n">
        <x:v>0</x:v>
      </x:c>
      <x:c r="D11" s="20" t="n">
        <x:v>0</x:v>
      </x:c>
      <x:c r="E11" s="20" t="n">
        <x:v>0</x:v>
      </x:c>
      <x:c r="F11" s="20" t="n">
        <x:v>0</x:v>
      </x:c>
      <x:c r="G11" s="20" t="n">
        <x:v>0</x:v>
      </x:c>
      <x:c r="H11" s="20" t="n">
        <x:v>0</x:v>
      </x:c>
      <x:c r="I11" s="20" t="n">
        <x:v>0</x:v>
      </x:c>
      <x:c r="J11" s="20" t="n">
        <x:v>0</x:v>
      </x:c>
      <x:c r="K11" s="27" t="n">
        <x:v>0</x:v>
      </x:c>
      <x:c r="L11" s="20" t="n">
        <x:v>0</x:v>
      </x:c>
      <x:c r="M11" s="26" t="n">
        <x:f>IFERROR(E11/D11,0)</x:f>
        <x:v>0</x:v>
      </x:c>
      <x:c r="N11" s="26" t="n">
        <x:f>IFERROR(G11/E11,0)</x:f>
        <x:v>0</x:v>
      </x:c>
      <x:c r="O11" s="27" t="n">
        <x:f>IFERROR(K11/G11,0)</x:f>
        <x:v>0</x:v>
      </x:c>
      <x:c r="P11" s="20" t="str"/>
    </x:row>
    <x:row r="12">
      <x:c r="A12" s="23" t="n">
        <x:v>46232</x:v>
      </x:c>
      <x:c r="B12" s="20" t="n">
        <x:v>0</x:v>
      </x:c>
      <x:c r="C12" s="20" t="n">
        <x:v>0</x:v>
      </x:c>
      <x:c r="D12" s="20" t="n">
        <x:v>0</x:v>
      </x:c>
      <x:c r="E12" s="20" t="n">
        <x:v>0</x:v>
      </x:c>
      <x:c r="F12" s="20" t="n">
        <x:v>0</x:v>
      </x:c>
      <x:c r="G12" s="20" t="n">
        <x:v>0</x:v>
      </x:c>
      <x:c r="H12" s="20" t="n">
        <x:v>0</x:v>
      </x:c>
      <x:c r="I12" s="20" t="n">
        <x:v>0</x:v>
      </x:c>
      <x:c r="J12" s="20" t="n">
        <x:v>0</x:v>
      </x:c>
      <x:c r="K12" s="27" t="n">
        <x:v>0</x:v>
      </x:c>
      <x:c r="L12" s="20" t="n">
        <x:v>0</x:v>
      </x:c>
      <x:c r="M12" s="26" t="n">
        <x:f>IFERROR(E12/D12,0)</x:f>
        <x:v>0</x:v>
      </x:c>
      <x:c r="N12" s="26" t="n">
        <x:f>IFERROR(G12/E12,0)</x:f>
        <x:v>0</x:v>
      </x:c>
      <x:c r="O12" s="27" t="n">
        <x:f>IFERROR(K12/G12,0)</x:f>
        <x:v>0</x:v>
      </x:c>
      <x:c r="P12" s="20" t="str"/>
    </x:row>
    <x:row r="13">
      <x:c r="A13" s="23" t="n">
        <x:v>46233</x:v>
      </x:c>
      <x:c r="B13" s="20" t="n">
        <x:v>0</x:v>
      </x:c>
      <x:c r="C13" s="20" t="n">
        <x:v>0</x:v>
      </x:c>
      <x:c r="D13" s="20" t="n">
        <x:v>0</x:v>
      </x:c>
      <x:c r="E13" s="20" t="n">
        <x:v>0</x:v>
      </x:c>
      <x:c r="F13" s="20" t="n">
        <x:v>0</x:v>
      </x:c>
      <x:c r="G13" s="20" t="n">
        <x:v>0</x:v>
      </x:c>
      <x:c r="H13" s="20" t="n">
        <x:v>0</x:v>
      </x:c>
      <x:c r="I13" s="20" t="n">
        <x:v>0</x:v>
      </x:c>
      <x:c r="J13" s="20" t="n">
        <x:v>0</x:v>
      </x:c>
      <x:c r="K13" s="27" t="n">
        <x:v>0</x:v>
      </x:c>
      <x:c r="L13" s="20" t="n">
        <x:v>0</x:v>
      </x:c>
      <x:c r="M13" s="26" t="n">
        <x:f>IFERROR(E13/D13,0)</x:f>
        <x:v>0</x:v>
      </x:c>
      <x:c r="N13" s="26" t="n">
        <x:f>IFERROR(G13/E13,0)</x:f>
        <x:v>0</x:v>
      </x:c>
      <x:c r="O13" s="27" t="n">
        <x:f>IFERROR(K13/G13,0)</x:f>
        <x:v>0</x:v>
      </x:c>
      <x:c r="P13" s="20" t="str"/>
    </x:row>
    <x:row r="15">
      <x:c r="A15" s="30" t="str">
        <x:v>TỔNG / BÌNH QUÂN</x:v>
      </x:c>
      <x:c r="B15" s="30" t="n">
        <x:f>SUM(B4:B13)</x:f>
        <x:v>0</x:v>
      </x:c>
      <x:c r="C15" s="30" t="n">
        <x:f>SUM(C4:C13)</x:f>
        <x:v>0</x:v>
      </x:c>
      <x:c r="D15" s="30" t="n">
        <x:f>SUM(D4:D13)</x:f>
        <x:v>0</x:v>
      </x:c>
      <x:c r="E15" s="30" t="n">
        <x:f>SUM(E4:E13)</x:f>
        <x:v>0</x:v>
      </x:c>
      <x:c r="F15" s="30" t="n">
        <x:f>SUM(F4:F13)</x:f>
        <x:v>0</x:v>
      </x:c>
      <x:c r="G15" s="30" t="n">
        <x:f>SUM(G4:G13)</x:f>
        <x:v>0</x:v>
      </x:c>
      <x:c r="H15" s="30" t="n">
        <x:f>SUM(H4:H13)</x:f>
        <x:v>0</x:v>
      </x:c>
      <x:c r="I15" s="30" t="n">
        <x:f>SUM(I4:I13)</x:f>
        <x:v>0</x:v>
      </x:c>
      <x:c r="J15" s="30" t="n">
        <x:f>SUM(J4:J13)</x:f>
        <x:v>0</x:v>
      </x:c>
      <x:c r="K15" s="32" t="n">
        <x:f>SUM(K4:K13)</x:f>
        <x:v>0</x:v>
      </x:c>
      <x:c r="L15" s="30" t="n">
        <x:f>IFERROR(AVERAGEIF(L4:L13,"&gt;0",L4:L13),0)</x:f>
        <x:v>0</x:v>
      </x:c>
      <x:c r="M15" s="31" t="n">
        <x:f>IFERROR(E15/D15,0)</x:f>
        <x:v>0</x:v>
      </x:c>
      <x:c r="N15" s="31" t="n">
        <x:f>IFERROR(G15/E15,0)</x:f>
        <x:v>0</x:v>
      </x:c>
      <x:c r="O15" s="32" t="n">
        <x:f>IFERROR(K15/G15,0)</x:f>
        <x:v>0</x:v>
      </x:c>
      <x:c r="P15" s="30" t="str"/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c83831b0dd824a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0" hidden="0" customWidth="1"/>
    <x:col min="3" max="3" width="58" hidden="0" customWidth="1"/>
    <x:col min="4" max="4" width="50" hidden="0" customWidth="1"/>
    <x:col min="5" max="5" width="55" hidden="0" customWidth="1"/>
    <x:col min="6" max="6" width="20" hidden="0" customWidth="1"/>
  </x:cols>
  <x:sheetData>
    <x:row r="1" ht="34" customHeight="1">
      <x:c r="A1" s="3" t="str">
        <x:v>Nguồn đã quét, phát hiện và giả định cần xác nhận</x:v>
      </x:c>
      <x:c r="B1" s="3" t="str">
        <x:v>Nguồn đã quét, phát hiện và giả định cần xác nhận</x:v>
      </x:c>
      <x:c r="C1" s="3" t="str">
        <x:v>Nguồn đã quét, phát hiện và giả định cần xác nhận</x:v>
      </x:c>
      <x:c r="D1" s="3" t="str">
        <x:v>Nguồn đã quét, phát hiện và giả định cần xác nhận</x:v>
      </x:c>
      <x:c r="E1" s="3" t="str">
        <x:v>Nguồn đã quét, phát hiện và giả định cần xác nhận</x:v>
      </x:c>
      <x:c r="F1" s="3" t="str">
        <x:v>Nguồn đã quét, phát hiện và giả định cần xác nhận</x:v>
      </x:c>
    </x:row>
    <x:row r="3">
      <x:c r="A3" s="17" t="str">
        <x:v>Nguồn</x:v>
      </x:c>
      <x:c r="B3" s="17" t="str">
        <x:v>Ngày file / phạm vi</x:v>
      </x:c>
      <x:c r="C3" s="17" t="str">
        <x:v>Điều xác nhận</x:v>
      </x:c>
      <x:c r="D3" s="17" t="str">
        <x:v>Cách dùng trong kế hoạch</x:v>
      </x:c>
      <x:c r="E3" s="17" t="str">
        <x:v>Hạn chế</x:v>
      </x:c>
      <x:c r="F3" s="17" t="str">
        <x:v>Mức tin cậy</x:v>
      </x:c>
    </x:row>
    <x:row r="4">
      <x:c r="A4" s="20" t="str">
        <x:v>Profile TPS1ĐN-2025.pptx</x:v>
      </x:c>
      <x:c r="B4" s="20" t="str">
        <x:v>Hồ sơ năng lực 2025</x:v>
      </x:c>
      <x:c r="C4" s="20" t="str">
        <x:v>Nhóm khách: trường/bệnh viện, công ty suất ăn, bếp tập thể, nhà hàng/khách sạn; proof: khách hàng, ATVSTP, ISO 22000:2018, HACCP</x:v>
      </x:c>
      <x:c r="D4" s="20" t="str">
        <x:v>Định vị, ICP, proof kit</x:v>
      </x:c>
      <x:c r="E4" s="20" t="str">
        <x:v>Cần kiểm tra quyền dùng logo và hiệu lực chứng nhận trước khi công khai</x:v>
      </x:c>
      <x:c r="F4" s="20" t="str">
        <x:v>Cao cho định hướng; cần QA claim</x:v>
      </x:c>
    </x:row>
    <x:row r="5">
      <x:c r="A5" s="20" t="str">
        <x:v>DanhSachSanPham_KV...xlsx</x:v>
      </x:c>
      <x:c r="B5" s="20" t="str">
        <x:v>23/06/2026; 5.195 dòng</x:v>
      </x:c>
      <x:c r="C5" s="20" t="str">
        <x:v>Danh mục rộng nhiều nhóm hàng</x:v>
      </x:c>
      <x:c r="D5" s="20" t="str">
        <x:v>Bằng chứng năng lực danh mục; chọn nhóm hàng theo nhu cầu</x:v>
      </x:c>
      <x:c r="E5" s="20" t="str">
        <x:v>Nhiều giá bán bằng 0/tồn âm; không dùng làm bảng giá hoặc claim tồn kho</x:v>
      </x:c>
      <x:c r="F5" s="20" t="str">
        <x:v>Trung bình</x:v>
      </x:c>
    </x:row>
    <x:row r="6">
      <x:c r="A6" s="20" t="str">
        <x:v>Thực Phẩm Số 1.xlsx</x:v>
      </x:c>
      <x:c r="B6" s="20" t="str">
        <x:v>13 lead; đến 20/07/2026</x:v>
      </x:c>
      <x:c r="C6" s="20" t="str">
        <x:v>Luồng form có dữ liệu buyer/supplier, nguồn, phân khúc, khu vực</x:v>
      </x:c>
      <x:c r="D6" s="20" t="str">
        <x:v>Thiết kế trường CRM và SLA</x:v>
      </x:c>
      <x:c r="E6" s="20" t="str">
        <x:v>Có bản ghi test/lặp; không dùng làm baseline chuyển đổi</x:v>
      </x:c>
      <x:c r="F6" s="20" t="str">
        <x:v>Thấp cho performance</x:v>
      </x:c>
    </x:row>
    <x:row r="7">
      <x:c r="A7" s="20" t="str">
        <x:v>Google Ads export 08/07/2026</x:v>
      </x:c>
      <x:c r="B7" s="20" t="str">
        <x:v>84 dòng cấu hình</x:v>
      </x:c>
      <x:c r="C7" s="20" t="str">
        <x:v>2 campaign Brand/Core B2B; budget 10k + 150k/ngày; RSA ad strength Poor; negative list còn ngắn</x:v>
      </x:c>
      <x:c r="D7" s="20" t="str">
        <x:v>Ngày hygiene và tracking</x:v>
      </x:c>
      <x:c r="E7" s="20" t="str">
        <x:v>Không có impressions/clicks/conversions/cost thực tế</x:v>
      </x:c>
      <x:c r="F7" s="20" t="str">
        <x:v>Cao cho setup, không đủ đánh giá hiệu quả</x:v>
      </x:c>
    </x:row>
    <x:row r="8">
      <x:c r="A8" s="20" t="str">
        <x:v>FB_ADS_PLAYBOOK_30_NGAY.md</x:v>
      </x:c>
      <x:c r="B8" s="20" t="str">
        <x:v>Playbook nội bộ</x:v>
      </x:c>
      <x:c r="C8" s="20" t="str">
        <x:v>North star, forms, 6 góc ads, speed-to-lead, organic calendar</x:v>
      </x:c>
      <x:c r="D8" s="20" t="str">
        <x:v>Tái dùng assets và SOP</x:v>
      </x:c>
      <x:c r="E8" s="20" t="str">
        <x:v>Là kế hoạch, chưa phải bằng chứng performance</x:v>
      </x:c>
      <x:c r="F8" s="20" t="str">
        <x:v>Cao cho execution</x:v>
      </x:c>
    </x:row>
    <x:row r="9">
      <x:c r="A9" s="20" t="str">
        <x:v>SEO plan 03/06/2026</x:v>
      </x:c>
      <x:c r="B9" s="20" t="str">
        <x:v>Roadmap local/B2B</x:v>
      </x:c>
      <x:c r="C9" s="20" t="str">
        <x:v>Money keywords, landing local, content hub, KPI</x:v>
      </x:c>
      <x:c r="D9" s="20" t="str">
        <x:v>Ưu tiên nội dung local và RFQ</x:v>
      </x:c>
      <x:c r="E9" s="20" t="str">
        <x:v>Kế hoạch trước đây; cần cập nhật dữ liệu Search Console</x:v>
      </x:c>
      <x:c r="F9" s="20" t="str">
        <x:v>Cao cho direction</x:v>
      </x:c>
    </x:row>
    <x:row r="10">
      <x:c r="A10" s="20" t="str">
        <x:v>LUỒNG HIỆN TẠI.docx</x:v>
      </x:c>
      <x:c r="B10" s="20" t="str">
        <x:v>Luồng website → Sheet → admin</x:v>
      </x:c>
      <x:c r="C10" s="20" t="str">
        <x:v>Form RFQ, Google Sheet Leads, admin xem lead/báo giá/đơn/trạng thái</x:v>
      </x:c>
      <x:c r="D10" s="20" t="str">
        <x:v>Ngày 1 kiểm tra tracking và vận hành</x:v>
      </x:c>
      <x:c r="E10" s="20" t="str">
        <x:v>Mô tả có chỗ trống; cần test end-to-end</x:v>
      </x:c>
      <x:c r="F10" s="20" t="str">
        <x:v>Trung bình</x:v>
      </x:c>
    </x:row>
    <x:row r="11">
      <x:c r="A11" s="20" t="str">
        <x:v>CustomerProfit (21).xls</x:v>
      </x:c>
      <x:c r="B11" s="20" t="str">
        <x:v>File lợi nhuận khách hàng</x:v>
      </x:c>
      <x:c r="C11" s="20" t="str">
        <x:v>Có khả năng giúp ưu tiên account giống khách hàng sinh lời</x:v>
      </x:c>
      <x:c r="D11" s="20" t="str">
        <x:v>Đưa vào phân tích sprint sau</x:v>
      </x:c>
      <x:c r="E11" s="20" t="str">
        <x:v>Không đọc được định dạng .xls trong môi trường hiện tại; chưa dùng để kết luận</x:v>
      </x:c>
      <x:c r="F11" s="20" t="str">
        <x:v>Chưa xác minh</x:v>
      </x:c>
    </x:row>
    <x:row r="13">
      <x:c r="A13" s="6" t="str">
        <x:v>GIẢ ĐỊNH LẬP KẾ HOẠCH (CẦN OWNER XÁC NHẬN TRONG NGÀY 1)</x:v>
      </x:c>
      <x:c r="B13" s="6"/>
      <x:c r="C13" s="6"/>
      <x:c r="D13" s="6"/>
      <x:c r="E13" s="6"/>
      <x:c r="F13" s="6"/>
    </x:row>
    <x:row r="14">
      <x:c r="A14" s="20" t="str">
        <x:v>1</x:v>
      </x:c>
      <x:c r="B14" s="20" t="str">
        <x:v>Team nhỏ; Founder/Sales trực tiếp xử lý lead nóng.</x:v>
      </x:c>
      <x:c r="C14" s="20" t="str">
        <x:v>3</x:v>
      </x:c>
      <x:c r="D14" s="20" t="str">
        <x:v>Mục tiêu 10 ngày là học nhanh và tạo pipeline, chưa phải tối đa reach.</x:v>
      </x:c>
      <x:c r="E14" s="20" t="str">
        <x:v>5</x:v>
      </x:c>
      <x:c r="F14" s="20" t="str">
        <x:v>Ngân sách ads giữ theo cấu hình hiện tại hoặc thấp hơn đến khi tracking sạch.</x:v>
      </x:c>
    </x:row>
    <x:row r="15">
      <x:c r="A15" s="20" t="str">
        <x:v>2</x:v>
      </x:c>
      <x:c r="B15" s="20" t="str">
        <x:v>Khu vực giao ưu tiên là Đồng Nai và tuyến lân cận có thể phục vụ ổn định.</x:v>
      </x:c>
      <x:c r="C15" s="20" t="str">
        <x:v>4</x:v>
      </x:c>
      <x:c r="D15" s="20" t="str">
        <x:v>Có thể dùng một phần proof trong profile sau khi kiểm quyền/hiệu lực.</x:v>
      </x:c>
      <x:c r="E15" s="20" t="str">
        <x:v>6</x:v>
      </x:c>
      <x:c r="F15" s="20" t="str">
        <x:v>KPI mục tiêu là baseline đề xuất, sẽ hiệu chỉnh sau 3 ngày dữ liệu thật.</x:v>
      </x:c>
    </x:row>
    <x:row r="16">
      <x:c r="A16" s="20" t="str"/>
      <x:c r="B16" s="20" t="str"/>
      <x:c r="C16" s="20" t="str"/>
      <x:c r="D16" s="20" t="str"/>
      <x:c r="E16" s="20" t="str"/>
      <x:c r="F16" s="20" t="str"/>
    </x:row>
    <x:row r="17">
      <x:c r="A17" s="20" t="str">
        <x:v>Cổng ngày 3</x:v>
      </x:c>
      <x:c r="B17" s="20" t="str">
        <x:v>Nếu &lt;40 contact hoặc proof kit chưa xong: không chạy outbound hàng loạt.</x:v>
      </x:c>
      <x:c r="C17" s="20" t="str">
        <x:v>Cổng ngày 7</x:v>
      </x:c>
      <x:c r="D17" s="20" t="str">
        <x:v>Nếu phản hồi &lt;10%: sửa list/message trước khi tăng volume.</x:v>
      </x:c>
      <x:c r="E17" s="20" t="str">
        <x:v>Cổng ngày 10</x:v>
      </x:c>
      <x:c r="F17" s="20" t="str">
        <x:v>Chỉ scale khi có ≥6 lead đủ chuẩn hoặc ≥3 nhu cầu/báo giá có bước tiếp theo.</x:v>
      </x:c>
    </x:row>
    <x:row r="18">
      <x:c r="A18" s="20" t="str"/>
      <x:c r="B18" s="20" t="str"/>
      <x:c r="C18" s="20" t="str"/>
      <x:c r="D18" s="20" t="str"/>
      <x:c r="E18" s="20" t="str"/>
      <x:c r="F18" s="20" t="str"/>
    </x:row>
  </x:sheetData>
  <x:mergeCells>
    <x:mergeCell ref="A1:F1"/>
    <x:mergeCell ref="A13:F13"/>
  </x:mergeCells>
  <x:pageMargins left="0.7" right="0.7" top="0.75" bottom="0.75" header="0.3" footer="0.3"/>
  <x:tableParts count="1">
    <x:tablePart xmlns:r="http://schemas.openxmlformats.org/officeDocument/2006/relationships" r:id="Rfd2575edcd0e4f24"/>
  </x:tableParts>
</x:worksheet>
</file>